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ber\Desktop\AI공부\260403_monthly_report_tool\templates\"/>
    </mc:Choice>
  </mc:AlternateContent>
  <xr:revisionPtr revIDLastSave="0" documentId="13_ncr:1_{3F2B145E-491F-4615-9E9A-A84C31897D97}" xr6:coauthVersionLast="47" xr6:coauthVersionMax="47" xr10:uidLastSave="{00000000-0000-0000-0000-000000000000}"/>
  <bookViews>
    <workbookView xWindow="36990" yWindow="5235" windowWidth="17280" windowHeight="10500" tabRatio="621" xr2:uid="{00000000-000D-0000-FFFF-FFFF00000000}"/>
  </bookViews>
  <sheets>
    <sheet name="사용자수" sheetId="29" r:id="rId1"/>
    <sheet name="페이지뷰수(조회수)" sheetId="22" r:id="rId2"/>
    <sheet name="세션수" sheetId="30" r:id="rId3"/>
    <sheet name="유입경로" sheetId="28" r:id="rId4"/>
    <sheet name="페이지로드속도_CN" sheetId="8" state="hidden" r:id="rId5"/>
    <sheet name="서비스개선" sheetId="10" state="hidden" r:id="rId6"/>
    <sheet name="보고용" sheetId="12" state="hidden" r:id="rId7"/>
    <sheet name="목표_방문수_페이지뷰" sheetId="13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8" l="1"/>
  <c r="D11" i="28"/>
  <c r="H4" i="22"/>
  <c r="G4" i="22"/>
  <c r="F4" i="22"/>
  <c r="H4" i="29"/>
  <c r="G4" i="29"/>
  <c r="F4" i="29"/>
  <c r="E8" i="29" l="1"/>
  <c r="J8" i="29" s="1"/>
  <c r="J7" i="29"/>
  <c r="J9" i="29"/>
  <c r="J10" i="29"/>
  <c r="J11" i="29"/>
  <c r="J12" i="29"/>
  <c r="J13" i="29"/>
  <c r="J14" i="29"/>
  <c r="J15" i="29"/>
  <c r="F11" i="28" l="1"/>
  <c r="I16" i="22"/>
  <c r="D16" i="22"/>
  <c r="C16" i="22"/>
  <c r="B16" i="22"/>
  <c r="H15" i="22"/>
  <c r="G15" i="22"/>
  <c r="F15" i="22"/>
  <c r="E15" i="22"/>
  <c r="J15" i="22" s="1"/>
  <c r="H14" i="22"/>
  <c r="G14" i="22"/>
  <c r="F14" i="22"/>
  <c r="E14" i="22"/>
  <c r="J14" i="22" s="1"/>
  <c r="H13" i="22"/>
  <c r="G13" i="22"/>
  <c r="F13" i="22"/>
  <c r="E13" i="22"/>
  <c r="J13" i="22" s="1"/>
  <c r="H12" i="22"/>
  <c r="G12" i="22"/>
  <c r="F12" i="22"/>
  <c r="E12" i="22"/>
  <c r="J12" i="22" s="1"/>
  <c r="H11" i="22"/>
  <c r="G11" i="22"/>
  <c r="F11" i="22"/>
  <c r="E11" i="22"/>
  <c r="J11" i="22" s="1"/>
  <c r="H10" i="22"/>
  <c r="G10" i="22"/>
  <c r="F10" i="22"/>
  <c r="E10" i="22"/>
  <c r="J10" i="22" s="1"/>
  <c r="H9" i="22"/>
  <c r="G9" i="22"/>
  <c r="F9" i="22"/>
  <c r="E9" i="22"/>
  <c r="J9" i="22" s="1"/>
  <c r="H8" i="22"/>
  <c r="G8" i="22"/>
  <c r="F8" i="22"/>
  <c r="E8" i="22"/>
  <c r="J8" i="22" s="1"/>
  <c r="H7" i="22"/>
  <c r="G7" i="22"/>
  <c r="F7" i="22"/>
  <c r="E7" i="22"/>
  <c r="J7" i="22" s="1"/>
  <c r="H6" i="22"/>
  <c r="G6" i="22"/>
  <c r="F6" i="22"/>
  <c r="E6" i="22"/>
  <c r="J6" i="22" s="1"/>
  <c r="H5" i="22"/>
  <c r="G5" i="22"/>
  <c r="F5" i="22"/>
  <c r="E5" i="22"/>
  <c r="J5" i="22" s="1"/>
  <c r="E4" i="22"/>
  <c r="J4" i="22" s="1"/>
  <c r="H15" i="29"/>
  <c r="G15" i="29"/>
  <c r="F15" i="29"/>
  <c r="H14" i="29"/>
  <c r="G14" i="29"/>
  <c r="F14" i="29"/>
  <c r="H13" i="29"/>
  <c r="G13" i="29"/>
  <c r="F13" i="29"/>
  <c r="H12" i="29"/>
  <c r="G12" i="29"/>
  <c r="F12" i="29"/>
  <c r="H11" i="29"/>
  <c r="G11" i="29"/>
  <c r="F11" i="29"/>
  <c r="H10" i="29"/>
  <c r="G10" i="29"/>
  <c r="F10" i="29"/>
  <c r="H9" i="29"/>
  <c r="G9" i="29"/>
  <c r="F9" i="29"/>
  <c r="H8" i="29"/>
  <c r="G8" i="29"/>
  <c r="F8" i="29"/>
  <c r="H7" i="29"/>
  <c r="G7" i="29"/>
  <c r="F7" i="29"/>
  <c r="H6" i="29"/>
  <c r="G6" i="29"/>
  <c r="F6" i="29"/>
  <c r="H5" i="29"/>
  <c r="G5" i="29"/>
  <c r="F5" i="29"/>
  <c r="E16" i="22" l="1"/>
  <c r="D16" i="30"/>
  <c r="C16" i="30"/>
  <c r="B16" i="30"/>
  <c r="E15" i="30"/>
  <c r="E14" i="30"/>
  <c r="E13" i="30"/>
  <c r="E12" i="30"/>
  <c r="E11" i="30"/>
  <c r="E10" i="30"/>
  <c r="E9" i="30"/>
  <c r="E8" i="30"/>
  <c r="E7" i="30"/>
  <c r="E6" i="30"/>
  <c r="E5" i="30"/>
  <c r="E4" i="30"/>
  <c r="F4" i="30" s="1"/>
  <c r="F6" i="30" l="1"/>
  <c r="F8" i="30"/>
  <c r="H8" i="30" s="1"/>
  <c r="H13" i="30"/>
  <c r="H6" i="30"/>
  <c r="F7" i="30"/>
  <c r="H7" i="30" s="1"/>
  <c r="H4" i="30"/>
  <c r="F15" i="30"/>
  <c r="H15" i="30" s="1"/>
  <c r="F14" i="30"/>
  <c r="H14" i="30" s="1"/>
  <c r="F11" i="30"/>
  <c r="H11" i="30" s="1"/>
  <c r="F12" i="30"/>
  <c r="H12" i="30" s="1"/>
  <c r="E16" i="30"/>
  <c r="F9" i="30"/>
  <c r="H9" i="30" s="1"/>
  <c r="F13" i="30"/>
  <c r="F5" i="30"/>
  <c r="H5" i="30" s="1"/>
  <c r="F10" i="30"/>
  <c r="H10" i="30" s="1"/>
  <c r="I16" i="29"/>
  <c r="D16" i="29"/>
  <c r="C16" i="29"/>
  <c r="B16" i="29"/>
  <c r="E15" i="29"/>
  <c r="E14" i="29"/>
  <c r="E13" i="29"/>
  <c r="E12" i="29"/>
  <c r="E11" i="29"/>
  <c r="E10" i="29"/>
  <c r="E9" i="29"/>
  <c r="E7" i="29"/>
  <c r="E6" i="29"/>
  <c r="J6" i="29" s="1"/>
  <c r="E5" i="29"/>
  <c r="J5" i="29" s="1"/>
  <c r="E4" i="29"/>
  <c r="J4" i="29" s="1"/>
  <c r="G16" i="30" l="1"/>
  <c r="E16" i="29"/>
  <c r="C10" i="28"/>
  <c r="G9" i="28" l="1"/>
  <c r="G10" i="28"/>
  <c r="E9" i="28"/>
  <c r="E10" i="28"/>
  <c r="C9" i="28"/>
  <c r="C5" i="28"/>
  <c r="C4" i="28" l="1"/>
  <c r="G8" i="28" l="1"/>
  <c r="G7" i="28"/>
  <c r="G6" i="28"/>
  <c r="G5" i="28"/>
  <c r="G4" i="28"/>
  <c r="G3" i="28"/>
  <c r="G2" i="28"/>
  <c r="E8" i="28"/>
  <c r="E5" i="28"/>
  <c r="E3" i="28"/>
  <c r="E7" i="28"/>
  <c r="E6" i="28"/>
  <c r="E4" i="28"/>
  <c r="E2" i="28"/>
  <c r="C3" i="28"/>
  <c r="C2" i="28"/>
  <c r="C8" i="28"/>
  <c r="C7" i="28"/>
  <c r="C6" i="28"/>
  <c r="C11" i="28" l="1"/>
  <c r="E11" i="28"/>
  <c r="G11" i="28"/>
  <c r="AA16" i="13" l="1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AC15" i="13"/>
  <c r="AE15" i="13" s="1"/>
  <c r="AF15" i="13" s="1"/>
  <c r="AB15" i="13"/>
  <c r="AB14" i="13"/>
  <c r="AC14" i="13" s="1"/>
  <c r="AE14" i="13" s="1"/>
  <c r="AF14" i="13" s="1"/>
  <c r="AB13" i="13"/>
  <c r="AC13" i="13" s="1"/>
  <c r="AE13" i="13" s="1"/>
  <c r="AF13" i="13" s="1"/>
  <c r="AB12" i="13"/>
  <c r="AC12" i="13" s="1"/>
  <c r="AE12" i="13" s="1"/>
  <c r="AF12" i="13" s="1"/>
  <c r="AC11" i="13"/>
  <c r="AE11" i="13" s="1"/>
  <c r="AF11" i="13" s="1"/>
  <c r="AB11" i="13"/>
  <c r="AB10" i="13"/>
  <c r="AB16" i="13" s="1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AB9" i="13" s="1"/>
  <c r="AB8" i="13"/>
  <c r="AC8" i="13" s="1"/>
  <c r="AE8" i="13" s="1"/>
  <c r="AF8" i="13" s="1"/>
  <c r="AB7" i="13"/>
  <c r="AC7" i="13" s="1"/>
  <c r="AE7" i="13" s="1"/>
  <c r="AF7" i="13" s="1"/>
  <c r="AC6" i="13"/>
  <c r="AE6" i="13" s="1"/>
  <c r="AF6" i="13" s="1"/>
  <c r="AB6" i="13"/>
  <c r="AB5" i="13"/>
  <c r="AC5" i="13" s="1"/>
  <c r="AE5" i="13" s="1"/>
  <c r="AF5" i="13" s="1"/>
  <c r="AB4" i="13"/>
  <c r="AC4" i="13" s="1"/>
  <c r="AE4" i="13" s="1"/>
  <c r="AF4" i="13" s="1"/>
  <c r="AB3" i="13"/>
  <c r="AC3" i="13" s="1"/>
  <c r="C12" i="12"/>
  <c r="G8" i="10"/>
  <c r="E7" i="10"/>
  <c r="D7" i="10"/>
  <c r="C7" i="10"/>
  <c r="F6" i="10"/>
  <c r="F5" i="10"/>
  <c r="F4" i="10"/>
  <c r="AC9" i="13" l="1"/>
  <c r="AE3" i="13"/>
  <c r="AF3" i="13" s="1"/>
  <c r="AC10" i="13"/>
  <c r="F7" i="10"/>
  <c r="G4" i="10" s="1"/>
  <c r="AC16" i="13" l="1"/>
  <c r="AE10" i="13"/>
  <c r="AE9" i="13"/>
  <c r="AF9" i="13" s="1"/>
  <c r="AF10" i="13" l="1"/>
  <c r="AE16" i="13"/>
  <c r="AF16" i="13" s="1"/>
</calcChain>
</file>

<file path=xl/sharedStrings.xml><?xml version="1.0" encoding="utf-8"?>
<sst xmlns="http://schemas.openxmlformats.org/spreadsheetml/2006/main" count="277" uniqueCount="83">
  <si>
    <t>2025년 실적</t>
    <phoneticPr fontId="10" type="noConversion"/>
  </si>
  <si>
    <t>세션수</t>
    <phoneticPr fontId="10" type="noConversion"/>
  </si>
  <si>
    <r>
      <rPr>
        <b/>
        <sz val="11"/>
        <color rgb="FF000000"/>
        <rFont val="맑은 고딕"/>
        <family val="3"/>
        <charset val="129"/>
      </rPr>
      <t>전월대비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증가율</t>
    </r>
    <phoneticPr fontId="10" type="noConversion"/>
  </si>
  <si>
    <t>실적</t>
    <phoneticPr fontId="10" type="noConversion"/>
  </si>
  <si>
    <t>증가율</t>
    <phoneticPr fontId="10" type="noConversion"/>
  </si>
  <si>
    <t>국</t>
  </si>
  <si>
    <t>영</t>
  </si>
  <si>
    <t>중</t>
  </si>
  <si>
    <t>소계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</si>
  <si>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</si>
  <si>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</si>
  <si>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</si>
  <si>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</si>
  <si>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</si>
  <si>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</si>
  <si>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</si>
  <si>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</si>
  <si>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</si>
  <si>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</si>
  <si>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</si>
  <si>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</si>
  <si>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</si>
  <si>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사용자수</t>
    <phoneticPr fontId="10" type="noConversion"/>
  </si>
  <si>
    <t>채널</t>
  </si>
  <si>
    <t>국문</t>
  </si>
  <si>
    <t>영문</t>
  </si>
  <si>
    <t>중문</t>
  </si>
  <si>
    <t>Referral</t>
  </si>
  <si>
    <t>Organic Search</t>
    <phoneticPr fontId="10" type="noConversion"/>
  </si>
  <si>
    <t>Direct</t>
  </si>
  <si>
    <t>Organic Social</t>
    <phoneticPr fontId="10" type="noConversion"/>
  </si>
  <si>
    <t>Unassigned</t>
    <phoneticPr fontId="10" type="noConversion"/>
  </si>
  <si>
    <t>Paid Search</t>
    <phoneticPr fontId="10" type="noConversion"/>
  </si>
  <si>
    <t>Display</t>
  </si>
  <si>
    <t>Organic Video</t>
    <phoneticPr fontId="10" type="noConversion"/>
  </si>
  <si>
    <t>Cross-network</t>
    <phoneticPr fontId="10" type="noConversion"/>
  </si>
  <si>
    <t>sum</t>
    <phoneticPr fontId="10" type="noConversion"/>
  </si>
  <si>
    <t>일 색인</t>
  </si>
  <si>
    <t>오피셜</t>
  </si>
  <si>
    <t>PS</t>
  </si>
  <si>
    <t>CL</t>
  </si>
  <si>
    <t>서비스</t>
  </si>
  <si>
    <t>목표</t>
  </si>
  <si>
    <t>2020 연간 KPI</t>
  </si>
  <si>
    <t>월평균</t>
  </si>
  <si>
    <t>컴포넌트 라이브러리</t>
  </si>
  <si>
    <t>시뮬레이션 그래프 생성</t>
  </si>
  <si>
    <t>시뮬레이션 데이터 다운로드</t>
  </si>
  <si>
    <t>데이터시트 오픈 및 다운로드</t>
  </si>
  <si>
    <t xml:space="preserve">합계 </t>
  </si>
  <si>
    <t>전년실적대비 10% 증가</t>
  </si>
  <si>
    <t>Product Search</t>
  </si>
  <si>
    <t>검색횟수</t>
  </si>
  <si>
    <t>리뉴얼 오픈 이후 확인 가능</t>
  </si>
  <si>
    <t>Part 상세 페이지 조회</t>
  </si>
  <si>
    <t>데이터 다운로드</t>
  </si>
  <si>
    <t>연도</t>
  </si>
  <si>
    <t>방문수</t>
  </si>
  <si>
    <t>페이지뷰수</t>
  </si>
  <si>
    <t>구분</t>
  </si>
  <si>
    <t>페이지수</t>
  </si>
  <si>
    <t>오피셜 (PC/Mobile)</t>
  </si>
  <si>
    <t>Component Library</t>
  </si>
  <si>
    <t>Google Analytics</t>
  </si>
  <si>
    <t>비고</t>
  </si>
  <si>
    <t>2018~2019합계</t>
  </si>
  <si>
    <t>2020 목표 설정</t>
  </si>
  <si>
    <t>2020 월간 목표</t>
  </si>
  <si>
    <t>2020 연간 목표</t>
  </si>
  <si>
    <t>오피셜-국</t>
  </si>
  <si>
    <t>Product Search 제외</t>
  </si>
  <si>
    <t>2년 평균실적대비 5% 증가</t>
  </si>
  <si>
    <t>오피셜-영</t>
  </si>
  <si>
    <t>오피셜-중</t>
  </si>
  <si>
    <t>Product Search 제외, 중문 GA 8월중순부터 트래킹 시작</t>
  </si>
  <si>
    <t>오피셜-일</t>
  </si>
  <si>
    <t>2019년 4월부터 GA 트래킹 시작</t>
  </si>
  <si>
    <t>리뉴얼 버전 2019년 4월 오픈, GA 트래킹 시작</t>
  </si>
  <si>
    <t>2년 평균실적대비 2% 증가</t>
  </si>
  <si>
    <t>페이지뷰</t>
  </si>
  <si>
    <t>페이지뷰수</t>
    <phoneticPr fontId="10" type="noConversion"/>
  </si>
  <si>
    <t>2026년 실적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</si>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</sst>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&quot; &quot;;\(#,##0\)"/>
    <numFmt numFmtId="177" formatCode="#,##0&quot; &quot;"/>
    <numFmt numFmtId="178" formatCode="m&quot;/&quot;d"/>
    <numFmt numFmtId="179" formatCode="#,##0_ "/>
  </numFmts>
  <fonts count="37" x14ac:knownFonts="1">
    <font>
      <sz val="11"/>
      <color indexed="8"/>
      <name val="맑은 고딕"/>
    </font>
    <font>
      <sz val="11"/>
      <color theme="1"/>
      <name val="나눔고딕"/>
      <family val="2"/>
      <charset val="129"/>
      <scheme val="minor"/>
    </font>
    <font>
      <sz val="11"/>
      <color theme="1"/>
      <name val="나눔고딕"/>
      <family val="2"/>
      <charset val="129"/>
      <scheme val="minor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5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8"/>
      <color indexed="8"/>
      <name val="나눔고딕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2"/>
      <name val="나눔고딕"/>
      <family val="1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8"/>
      <color theme="3"/>
      <name val="나눔고딕"/>
      <family val="2"/>
      <charset val="129"/>
      <scheme val="major"/>
    </font>
    <font>
      <b/>
      <sz val="15"/>
      <color theme="3"/>
      <name val="나눔고딕"/>
      <family val="2"/>
      <charset val="129"/>
      <scheme val="minor"/>
    </font>
    <font>
      <b/>
      <sz val="13"/>
      <color theme="3"/>
      <name val="나눔고딕"/>
      <family val="2"/>
      <charset val="129"/>
      <scheme val="minor"/>
    </font>
    <font>
      <b/>
      <sz val="11"/>
      <color theme="3"/>
      <name val="나눔고딕"/>
      <family val="2"/>
      <charset val="129"/>
      <scheme val="minor"/>
    </font>
    <font>
      <sz val="11"/>
      <color rgb="FF006100"/>
      <name val="나눔고딕"/>
      <family val="2"/>
      <charset val="129"/>
      <scheme val="minor"/>
    </font>
    <font>
      <sz val="11"/>
      <color rgb="FF9C0006"/>
      <name val="나눔고딕"/>
      <family val="2"/>
      <charset val="129"/>
      <scheme val="minor"/>
    </font>
    <font>
      <sz val="11"/>
      <color rgb="FF9C5700"/>
      <name val="나눔고딕"/>
      <family val="2"/>
      <charset val="129"/>
      <scheme val="minor"/>
    </font>
    <font>
      <sz val="11"/>
      <color rgb="FF3F3F76"/>
      <name val="나눔고딕"/>
      <family val="2"/>
      <charset val="129"/>
      <scheme val="minor"/>
    </font>
    <font>
      <b/>
      <sz val="11"/>
      <color rgb="FF3F3F3F"/>
      <name val="나눔고딕"/>
      <family val="2"/>
      <charset val="129"/>
      <scheme val="minor"/>
    </font>
    <font>
      <b/>
      <sz val="11"/>
      <color rgb="FFFA7D00"/>
      <name val="나눔고딕"/>
      <family val="2"/>
      <charset val="129"/>
      <scheme val="minor"/>
    </font>
    <font>
      <sz val="11"/>
      <color rgb="FFFA7D00"/>
      <name val="나눔고딕"/>
      <family val="2"/>
      <charset val="129"/>
      <scheme val="minor"/>
    </font>
    <font>
      <b/>
      <sz val="11"/>
      <color theme="0"/>
      <name val="나눔고딕"/>
      <family val="2"/>
      <charset val="129"/>
      <scheme val="minor"/>
    </font>
    <font>
      <sz val="11"/>
      <color rgb="FFFF0000"/>
      <name val="나눔고딕"/>
      <family val="2"/>
      <charset val="129"/>
      <scheme val="minor"/>
    </font>
    <font>
      <i/>
      <sz val="11"/>
      <color rgb="FF7F7F7F"/>
      <name val="나눔고딕"/>
      <family val="2"/>
      <charset val="129"/>
      <scheme val="minor"/>
    </font>
    <font>
      <b/>
      <sz val="11"/>
      <color theme="1"/>
      <name val="나눔고딕"/>
      <family val="2"/>
      <charset val="129"/>
      <scheme val="minor"/>
    </font>
    <font>
      <sz val="11"/>
      <color theme="0"/>
      <name val="나눔고딕"/>
      <family val="2"/>
      <charset val="129"/>
      <scheme val="minor"/>
    </font>
    <font>
      <sz val="11"/>
      <color rgb="FF9C6500"/>
      <name val="나눔고딕"/>
      <family val="2"/>
      <charset val="129"/>
      <scheme val="minor"/>
    </font>
    <font>
      <b/>
      <sz val="11"/>
      <color rgb="FF000000"/>
      <name val="맑은 고딕"/>
      <family val="2"/>
      <charset val="129"/>
    </font>
    <font>
      <b/>
      <sz val="11"/>
      <color rgb="FF000000"/>
      <name val="Arial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indexed="1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39"/>
        <bgColor auto="1"/>
      </patternFill>
    </fill>
    <fill>
      <patternFill patternType="solid">
        <fgColor indexed="40"/>
        <bgColor auto="1"/>
      </patternFill>
    </fill>
    <fill>
      <patternFill patternType="solid">
        <fgColor indexed="41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42"/>
        <bgColor auto="1"/>
      </patternFill>
    </fill>
    <fill>
      <patternFill patternType="solid">
        <fgColor rgb="FFD9D9D9"/>
        <bgColor indexed="64"/>
      </patternFill>
    </fill>
    <fill>
      <patternFill patternType="solid">
        <fgColor rgb="FFD7F0F9"/>
        <bgColor indexed="64"/>
      </patternFill>
    </fill>
    <fill>
      <patternFill patternType="solid">
        <fgColor rgb="FF8FD4E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15"/>
      </bottom>
      <diagonal/>
    </border>
    <border>
      <left style="thin">
        <color indexed="15"/>
      </left>
      <right style="thin">
        <color indexed="8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37"/>
      </bottom>
      <diagonal/>
    </border>
    <border>
      <left style="thin">
        <color indexed="37"/>
      </left>
      <right style="thin">
        <color indexed="37"/>
      </right>
      <top style="thin">
        <color indexed="37"/>
      </top>
      <bottom/>
      <diagonal/>
    </border>
    <border>
      <left style="thin">
        <color indexed="37"/>
      </left>
      <right/>
      <top style="thin">
        <color indexed="37"/>
      </top>
      <bottom style="thin">
        <color indexed="37"/>
      </bottom>
      <diagonal/>
    </border>
    <border>
      <left/>
      <right/>
      <top style="thin">
        <color indexed="37"/>
      </top>
      <bottom style="thin">
        <color indexed="37"/>
      </bottom>
      <diagonal/>
    </border>
    <border>
      <left/>
      <right style="thin">
        <color indexed="37"/>
      </right>
      <top style="thin">
        <color indexed="37"/>
      </top>
      <bottom style="thin">
        <color indexed="37"/>
      </bottom>
      <diagonal/>
    </border>
    <border>
      <left style="thin">
        <color indexed="37"/>
      </left>
      <right style="thin">
        <color indexed="37"/>
      </right>
      <top/>
      <bottom style="thin">
        <color indexed="37"/>
      </bottom>
      <diagonal/>
    </border>
    <border>
      <left style="thin">
        <color indexed="37"/>
      </left>
      <right style="thin">
        <color indexed="37"/>
      </right>
      <top style="thin">
        <color indexed="37"/>
      </top>
      <bottom style="thin">
        <color indexed="37"/>
      </bottom>
      <diagonal/>
    </border>
    <border>
      <left style="thin">
        <color indexed="37"/>
      </left>
      <right style="thin">
        <color indexed="37"/>
      </right>
      <top style="thin">
        <color indexed="37"/>
      </top>
      <bottom style="thin">
        <color indexed="15"/>
      </bottom>
      <diagonal/>
    </border>
    <border>
      <left style="thin">
        <color indexed="37"/>
      </left>
      <right style="thin">
        <color indexed="37"/>
      </right>
      <top style="thin">
        <color indexed="15"/>
      </top>
      <bottom style="thin">
        <color indexed="15"/>
      </bottom>
      <diagonal/>
    </border>
    <border>
      <left style="thin">
        <color indexed="37"/>
      </left>
      <right style="thin">
        <color indexed="37"/>
      </right>
      <top style="thin">
        <color indexed="15"/>
      </top>
      <bottom style="thin">
        <color indexed="37"/>
      </bottom>
      <diagonal/>
    </border>
    <border>
      <left style="thin">
        <color indexed="37"/>
      </left>
      <right style="thin">
        <color indexed="15"/>
      </right>
      <top style="thin">
        <color indexed="37"/>
      </top>
      <bottom style="thin">
        <color indexed="37"/>
      </bottom>
      <diagonal/>
    </border>
    <border>
      <left style="thin">
        <color indexed="15"/>
      </left>
      <right style="thin">
        <color indexed="15"/>
      </right>
      <top style="thin">
        <color indexed="37"/>
      </top>
      <bottom style="thin">
        <color indexed="37"/>
      </bottom>
      <diagonal/>
    </border>
    <border>
      <left style="thin">
        <color indexed="15"/>
      </left>
      <right style="thin">
        <color indexed="37"/>
      </right>
      <top style="thin">
        <color indexed="37"/>
      </top>
      <bottom style="thin">
        <color indexed="37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/>
      <top style="medium">
        <color indexed="64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/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91">
    <xf numFmtId="0" fontId="0" fillId="0" borderId="0" applyNumberFormat="0" applyFill="0" applyBorder="0" applyProtection="0">
      <alignment vertical="center"/>
    </xf>
    <xf numFmtId="0" fontId="11" fillId="0" borderId="0">
      <alignment vertical="center"/>
    </xf>
    <xf numFmtId="0" fontId="9" fillId="0" borderId="0" applyNumberFormat="0" applyFill="0" applyBorder="0" applyProtection="0">
      <alignment vertical="center"/>
    </xf>
    <xf numFmtId="41" fontId="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5" fillId="19" borderId="30" applyNumberFormat="0" applyAlignment="0" applyProtection="0">
      <alignment vertical="center"/>
    </xf>
    <xf numFmtId="0" fontId="26" fillId="20" borderId="31" applyNumberFormat="0" applyAlignment="0" applyProtection="0">
      <alignment vertical="center"/>
    </xf>
    <xf numFmtId="0" fontId="27" fillId="20" borderId="30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21" borderId="3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35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 applyNumberFormat="0" applyFill="0" applyBorder="0" applyProtection="0">
      <alignment vertical="center"/>
    </xf>
    <xf numFmtId="41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2" fillId="22" borderId="34" applyNumberFormat="0" applyFont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2" borderId="34" applyNumberFormat="0" applyFont="0" applyAlignment="0" applyProtection="0">
      <alignment vertical="center"/>
    </xf>
    <xf numFmtId="0" fontId="1" fillId="22" borderId="34" applyNumberFormat="0" applyFont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5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3" borderId="3" xfId="0" applyFill="1" applyBorder="1">
      <alignment vertical="center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>
      <alignment vertical="center"/>
    </xf>
    <xf numFmtId="0" fontId="0" fillId="3" borderId="4" xfId="0" applyFill="1" applyBorder="1" applyAlignment="1">
      <alignment vertical="center" wrapText="1"/>
    </xf>
    <xf numFmtId="176" fontId="4" fillId="3" borderId="1" xfId="0" applyNumberFormat="1" applyFont="1" applyFill="1" applyBorder="1" applyAlignment="1">
      <alignment horizontal="right" vertical="center"/>
    </xf>
    <xf numFmtId="49" fontId="6" fillId="3" borderId="1" xfId="0" applyNumberFormat="1" applyFont="1" applyFill="1" applyBorder="1" applyAlignment="1">
      <alignment vertical="center" wrapText="1"/>
    </xf>
    <xf numFmtId="0" fontId="0" fillId="3" borderId="5" xfId="0" applyFill="1" applyBorder="1">
      <alignment vertical="center"/>
    </xf>
    <xf numFmtId="0" fontId="0" fillId="3" borderId="5" xfId="0" applyFill="1" applyBorder="1" applyAlignment="1">
      <alignment vertical="center" wrapText="1"/>
    </xf>
    <xf numFmtId="176" fontId="0" fillId="3" borderId="3" xfId="0" applyNumberFormat="1" applyFill="1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3" fontId="4" fillId="3" borderId="1" xfId="0" applyNumberFormat="1" applyFont="1" applyFill="1" applyBorder="1" applyAlignment="1">
      <alignment horizontal="right" vertical="center" wrapText="1" readingOrder="1"/>
    </xf>
    <xf numFmtId="0" fontId="0" fillId="0" borderId="0" xfId="0" applyNumberFormat="1">
      <alignment vertical="center"/>
    </xf>
    <xf numFmtId="176" fontId="0" fillId="4" borderId="1" xfId="0" applyNumberFormat="1" applyFill="1" applyBorder="1">
      <alignment vertical="center"/>
    </xf>
    <xf numFmtId="49" fontId="0" fillId="3" borderId="3" xfId="0" applyNumberFormat="1" applyFill="1" applyBorder="1">
      <alignment vertical="center"/>
    </xf>
    <xf numFmtId="49" fontId="0" fillId="0" borderId="3" xfId="0" applyNumberFormat="1" applyBorder="1">
      <alignment vertical="center"/>
    </xf>
    <xf numFmtId="178" fontId="0" fillId="3" borderId="3" xfId="0" applyNumberFormat="1" applyFill="1" applyBorder="1" applyAlignment="1"/>
    <xf numFmtId="2" fontId="0" fillId="3" borderId="3" xfId="0" applyNumberFormat="1" applyFill="1" applyBorder="1" applyAlignment="1"/>
    <xf numFmtId="0" fontId="0" fillId="0" borderId="8" xfId="0" applyBorder="1">
      <alignment vertical="center"/>
    </xf>
    <xf numFmtId="49" fontId="7" fillId="2" borderId="14" xfId="0" applyNumberFormat="1" applyFont="1" applyFill="1" applyBorder="1" applyAlignment="1">
      <alignment horizontal="center" vertical="center" wrapText="1" readingOrder="1"/>
    </xf>
    <xf numFmtId="49" fontId="0" fillId="3" borderId="14" xfId="0" applyNumberFormat="1" applyFill="1" applyBorder="1" applyAlignment="1">
      <alignment horizontal="left" vertical="center" wrapText="1" readingOrder="1"/>
    </xf>
    <xf numFmtId="3" fontId="0" fillId="3" borderId="14" xfId="0" applyNumberFormat="1" applyFill="1" applyBorder="1" applyAlignment="1">
      <alignment horizontal="center" vertical="center" wrapText="1" readingOrder="1"/>
    </xf>
    <xf numFmtId="3" fontId="0" fillId="4" borderId="14" xfId="0" applyNumberFormat="1" applyFill="1" applyBorder="1" applyAlignment="1">
      <alignment horizontal="center" vertical="center" wrapText="1" readingOrder="1"/>
    </xf>
    <xf numFmtId="0" fontId="0" fillId="3" borderId="14" xfId="0" applyNumberFormat="1" applyFill="1" applyBorder="1" applyAlignment="1">
      <alignment horizontal="center" vertical="center" wrapText="1" readingOrder="1"/>
    </xf>
    <xf numFmtId="49" fontId="0" fillId="6" borderId="14" xfId="0" applyNumberFormat="1" applyFill="1" applyBorder="1" applyAlignment="1">
      <alignment horizontal="left" vertical="center" wrapText="1" readingOrder="1"/>
    </xf>
    <xf numFmtId="3" fontId="0" fillId="6" borderId="14" xfId="0" applyNumberFormat="1" applyFill="1" applyBorder="1" applyAlignment="1">
      <alignment horizontal="center" vertical="center" wrapText="1" readingOrder="1"/>
    </xf>
    <xf numFmtId="49" fontId="0" fillId="6" borderId="14" xfId="0" applyNumberFormat="1" applyFill="1" applyBorder="1" applyAlignment="1">
      <alignment horizontal="center" vertical="center" wrapText="1" readingOrder="1"/>
    </xf>
    <xf numFmtId="0" fontId="8" fillId="4" borderId="14" xfId="0" applyFont="1" applyFill="1" applyBorder="1" applyAlignment="1">
      <alignment vertical="center" wrapText="1"/>
    </xf>
    <xf numFmtId="3" fontId="4" fillId="3" borderId="14" xfId="0" applyNumberFormat="1" applyFont="1" applyFill="1" applyBorder="1" applyAlignment="1">
      <alignment horizontal="center" vertical="center" wrapText="1" readingOrder="1"/>
    </xf>
    <xf numFmtId="3" fontId="4" fillId="4" borderId="14" xfId="0" applyNumberFormat="1" applyFont="1" applyFill="1" applyBorder="1" applyAlignment="1">
      <alignment horizontal="center" vertical="center" wrapText="1" readingOrder="1"/>
    </xf>
    <xf numFmtId="49" fontId="7" fillId="7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7" xfId="0" applyNumberFormat="1" applyBorder="1">
      <alignment vertical="center"/>
    </xf>
    <xf numFmtId="177" fontId="0" fillId="0" borderId="5" xfId="0" applyNumberFormat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177" fontId="0" fillId="0" borderId="1" xfId="0" applyNumberFormat="1" applyBorder="1">
      <alignment vertical="center"/>
    </xf>
    <xf numFmtId="177" fontId="7" fillId="0" borderId="1" xfId="0" applyNumberFormat="1" applyFont="1" applyBorder="1">
      <alignment vertical="center"/>
    </xf>
    <xf numFmtId="49" fontId="5" fillId="3" borderId="4" xfId="0" applyNumberFormat="1" applyFont="1" applyFill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17" fontId="3" fillId="8" borderId="1" xfId="0" applyNumberFormat="1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>
      <alignment vertical="center"/>
    </xf>
    <xf numFmtId="176" fontId="4" fillId="3" borderId="1" xfId="0" applyNumberFormat="1" applyFont="1" applyFill="1" applyBorder="1" applyAlignment="1">
      <alignment horizontal="right" vertical="center" wrapText="1"/>
    </xf>
    <xf numFmtId="176" fontId="3" fillId="4" borderId="1" xfId="0" applyNumberFormat="1" applyFont="1" applyFill="1" applyBorder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>
      <alignment vertical="center"/>
    </xf>
    <xf numFmtId="49" fontId="3" fillId="2" borderId="1" xfId="0" applyNumberFormat="1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176" fontId="4" fillId="2" borderId="1" xfId="0" applyNumberFormat="1" applyFont="1" applyFill="1" applyBorder="1" applyAlignment="1">
      <alignment horizontal="right" vertical="center" wrapText="1"/>
    </xf>
    <xf numFmtId="176" fontId="0" fillId="2" borderId="1" xfId="0" applyNumberForma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177" fontId="4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>
      <alignment vertical="center"/>
    </xf>
    <xf numFmtId="49" fontId="3" fillId="10" borderId="1" xfId="0" applyNumberFormat="1" applyFont="1" applyFill="1" applyBorder="1">
      <alignment vertical="center"/>
    </xf>
    <xf numFmtId="177" fontId="3" fillId="10" borderId="1" xfId="0" applyNumberFormat="1" applyFont="1" applyFill="1" applyBorder="1">
      <alignment vertical="center"/>
    </xf>
    <xf numFmtId="176" fontId="4" fillId="3" borderId="1" xfId="0" applyNumberFormat="1" applyFont="1" applyFill="1" applyBorder="1" applyAlignment="1">
      <alignment horizontal="right" vertical="center" wrapText="1" readingOrder="1"/>
    </xf>
    <xf numFmtId="3" fontId="0" fillId="0" borderId="0" xfId="0" applyNumberFormat="1">
      <alignment vertical="center"/>
    </xf>
    <xf numFmtId="0" fontId="14" fillId="11" borderId="21" xfId="0" applyFont="1" applyFill="1" applyBorder="1" applyAlignment="1">
      <alignment horizontal="center" vertical="center" wrapText="1" readingOrder="1"/>
    </xf>
    <xf numFmtId="0" fontId="16" fillId="0" borderId="21" xfId="0" applyFont="1" applyBorder="1" applyAlignment="1">
      <alignment horizontal="center" vertical="center" wrapText="1" readingOrder="1"/>
    </xf>
    <xf numFmtId="3" fontId="13" fillId="0" borderId="21" xfId="0" applyNumberFormat="1" applyFont="1" applyBorder="1" applyAlignment="1">
      <alignment horizontal="center" vertical="center" wrapText="1" readingOrder="1"/>
    </xf>
    <xf numFmtId="3" fontId="13" fillId="12" borderId="21" xfId="0" applyNumberFormat="1" applyFont="1" applyFill="1" applyBorder="1" applyAlignment="1">
      <alignment horizontal="center" vertical="center" wrapText="1" readingOrder="1"/>
    </xf>
    <xf numFmtId="0" fontId="14" fillId="14" borderId="21" xfId="0" applyFont="1" applyFill="1" applyBorder="1" applyAlignment="1">
      <alignment horizontal="center" vertical="center" wrapText="1" readingOrder="1"/>
    </xf>
    <xf numFmtId="3" fontId="12" fillId="14" borderId="21" xfId="0" applyNumberFormat="1" applyFont="1" applyFill="1" applyBorder="1" applyAlignment="1">
      <alignment horizontal="center" vertical="center" wrapText="1" readingOrder="1"/>
    </xf>
    <xf numFmtId="0" fontId="9" fillId="0" borderId="0" xfId="2">
      <alignment vertical="center"/>
    </xf>
    <xf numFmtId="3" fontId="14" fillId="11" borderId="21" xfId="0" applyNumberFormat="1" applyFont="1" applyFill="1" applyBorder="1" applyAlignment="1">
      <alignment horizontal="center" vertical="center" wrapText="1" readingOrder="1"/>
    </xf>
    <xf numFmtId="0" fontId="12" fillId="15" borderId="38" xfId="2" applyFont="1" applyFill="1" applyBorder="1" applyAlignment="1">
      <alignment horizontal="center" vertical="center" wrapText="1" readingOrder="1"/>
    </xf>
    <xf numFmtId="0" fontId="12" fillId="11" borderId="40" xfId="2" applyFont="1" applyFill="1" applyBorder="1" applyAlignment="1">
      <alignment horizontal="center" vertical="center" wrapText="1" readingOrder="1"/>
    </xf>
    <xf numFmtId="0" fontId="12" fillId="15" borderId="41" xfId="2" applyFont="1" applyFill="1" applyBorder="1" applyAlignment="1">
      <alignment horizontal="center" vertical="center" wrapText="1" readingOrder="1"/>
    </xf>
    <xf numFmtId="0" fontId="9" fillId="0" borderId="39" xfId="2" applyBorder="1" applyAlignment="1">
      <alignment horizontal="center" vertical="center"/>
    </xf>
    <xf numFmtId="10" fontId="9" fillId="0" borderId="39" xfId="2" applyNumberFormat="1" applyBorder="1" applyAlignment="1">
      <alignment horizontal="center" vertical="center"/>
    </xf>
    <xf numFmtId="3" fontId="12" fillId="13" borderId="42" xfId="0" applyNumberFormat="1" applyFont="1" applyFill="1" applyBorder="1" applyAlignment="1">
      <alignment horizontal="center" vertical="center" wrapText="1" readingOrder="1"/>
    </xf>
    <xf numFmtId="9" fontId="0" fillId="0" borderId="42" xfId="4" applyFont="1" applyBorder="1" applyAlignment="1">
      <alignment vertical="center"/>
    </xf>
    <xf numFmtId="9" fontId="12" fillId="13" borderId="42" xfId="0" applyNumberFormat="1" applyFont="1" applyFill="1" applyBorder="1" applyAlignment="1">
      <alignment horizontal="center" vertical="center" wrapText="1" readingOrder="1"/>
    </xf>
    <xf numFmtId="3" fontId="12" fillId="14" borderId="42" xfId="0" applyNumberFormat="1" applyFont="1" applyFill="1" applyBorder="1" applyAlignment="1">
      <alignment horizontal="center" vertical="center" wrapText="1" readingOrder="1"/>
    </xf>
    <xf numFmtId="3" fontId="9" fillId="0" borderId="39" xfId="2" applyNumberFormat="1" applyBorder="1" applyAlignment="1">
      <alignment horizontal="center" vertical="center"/>
    </xf>
    <xf numFmtId="3" fontId="9" fillId="0" borderId="0" xfId="2" applyNumberFormat="1">
      <alignment vertical="center"/>
    </xf>
    <xf numFmtId="10" fontId="13" fillId="48" borderId="21" xfId="0" applyNumberFormat="1" applyFont="1" applyFill="1" applyBorder="1" applyAlignment="1">
      <alignment horizontal="center" vertical="center" wrapText="1" readingOrder="1"/>
    </xf>
    <xf numFmtId="0" fontId="14" fillId="11" borderId="23" xfId="0" applyFont="1" applyFill="1" applyBorder="1" applyAlignment="1">
      <alignment horizontal="center" vertical="center" wrapText="1" readingOrder="1"/>
    </xf>
    <xf numFmtId="3" fontId="12" fillId="14" borderId="0" xfId="0" applyNumberFormat="1" applyFont="1" applyFill="1" applyBorder="1" applyAlignment="1">
      <alignment horizontal="center" vertical="center" wrapText="1" readingOrder="1"/>
    </xf>
    <xf numFmtId="3" fontId="14" fillId="11" borderId="23" xfId="0" applyNumberFormat="1" applyFont="1" applyFill="1" applyBorder="1" applyAlignment="1">
      <alignment horizontal="center" vertical="center" wrapText="1" readingOrder="1"/>
    </xf>
    <xf numFmtId="179" fontId="13" fillId="48" borderId="21" xfId="0" applyNumberFormat="1" applyFont="1" applyFill="1" applyBorder="1" applyAlignment="1">
      <alignment horizontal="center" vertical="center" wrapText="1" readingOrder="1"/>
    </xf>
    <xf numFmtId="0" fontId="9" fillId="47" borderId="42" xfId="0" applyFont="1" applyFill="1" applyBorder="1" applyAlignment="1">
      <alignment horizontal="center" vertical="center"/>
    </xf>
    <xf numFmtId="0" fontId="9" fillId="47" borderId="43" xfId="0" applyFont="1" applyFill="1" applyBorder="1" applyAlignment="1">
      <alignment horizontal="center" vertical="center"/>
    </xf>
    <xf numFmtId="0" fontId="0" fillId="47" borderId="42" xfId="0" applyFill="1" applyBorder="1" applyAlignment="1">
      <alignment horizontal="center" vertical="center"/>
    </xf>
    <xf numFmtId="0" fontId="14" fillId="11" borderId="22" xfId="0" applyFont="1" applyFill="1" applyBorder="1" applyAlignment="1">
      <alignment horizontal="center" vertical="center" wrapText="1" readingOrder="1"/>
    </xf>
    <xf numFmtId="0" fontId="14" fillId="11" borderId="23" xfId="0" applyFont="1" applyFill="1" applyBorder="1" applyAlignment="1">
      <alignment horizontal="center" vertical="center" wrapText="1" readingOrder="1"/>
    </xf>
    <xf numFmtId="0" fontId="14" fillId="11" borderId="24" xfId="0" applyFont="1" applyFill="1" applyBorder="1" applyAlignment="1">
      <alignment horizontal="center" vertical="center" wrapText="1" readingOrder="1"/>
    </xf>
    <xf numFmtId="0" fontId="15" fillId="11" borderId="25" xfId="0" applyFont="1" applyFill="1" applyBorder="1" applyAlignment="1">
      <alignment horizontal="center" vertical="center" wrapText="1" readingOrder="1"/>
    </xf>
    <xf numFmtId="0" fontId="35" fillId="11" borderId="44" xfId="0" applyFont="1" applyFill="1" applyBorder="1" applyAlignment="1">
      <alignment horizontal="center" vertical="center" wrapText="1" readingOrder="1"/>
    </xf>
    <xf numFmtId="0" fontId="35" fillId="11" borderId="42" xfId="0" applyFont="1" applyFill="1" applyBorder="1" applyAlignment="1">
      <alignment horizontal="center" vertical="center" wrapText="1" readingOrder="1"/>
    </xf>
    <xf numFmtId="0" fontId="36" fillId="11" borderId="45" xfId="0" applyFont="1" applyFill="1" applyBorder="1" applyAlignment="1">
      <alignment horizontal="center" vertical="center" wrapText="1" readingOrder="1"/>
    </xf>
    <xf numFmtId="0" fontId="15" fillId="11" borderId="26" xfId="0" applyFont="1" applyFill="1" applyBorder="1" applyAlignment="1">
      <alignment horizontal="center" vertical="center" wrapText="1" readingOrder="1"/>
    </xf>
    <xf numFmtId="0" fontId="36" fillId="11" borderId="42" xfId="0" applyFont="1" applyFill="1" applyBorder="1" applyAlignment="1">
      <alignment horizontal="center" vertical="center" wrapText="1" readingOrder="1"/>
    </xf>
    <xf numFmtId="0" fontId="15" fillId="11" borderId="42" xfId="0" applyFont="1" applyFill="1" applyBorder="1" applyAlignment="1">
      <alignment horizontal="center" vertical="center" wrapText="1" readingOrder="1"/>
    </xf>
    <xf numFmtId="0" fontId="12" fillId="11" borderId="37" xfId="2" applyFont="1" applyFill="1" applyBorder="1" applyAlignment="1">
      <alignment horizontal="center" vertical="center" wrapText="1" readingOrder="1"/>
    </xf>
    <xf numFmtId="0" fontId="12" fillId="11" borderId="36" xfId="2" applyFont="1" applyFill="1" applyBorder="1" applyAlignment="1">
      <alignment horizontal="center" vertical="center" wrapText="1" readingOrder="1"/>
    </xf>
    <xf numFmtId="49" fontId="7" fillId="3" borderId="15" xfId="0" applyNumberFormat="1" applyFont="1" applyFill="1" applyBorder="1" applyAlignment="1">
      <alignment horizontal="center" vertical="center" wrapText="1" readingOrder="1"/>
    </xf>
    <xf numFmtId="0" fontId="7" fillId="3" borderId="16" xfId="0" applyFont="1" applyFill="1" applyBorder="1" applyAlignment="1">
      <alignment horizontal="center" vertical="center" wrapText="1" readingOrder="1"/>
    </xf>
    <xf numFmtId="0" fontId="7" fillId="3" borderId="17" xfId="0" applyFont="1" applyFill="1" applyBorder="1" applyAlignment="1">
      <alignment horizontal="center" vertical="center" wrapText="1" readingOrder="1"/>
    </xf>
    <xf numFmtId="49" fontId="0" fillId="3" borderId="18" xfId="0" applyNumberFormat="1" applyFill="1" applyBorder="1" applyAlignment="1">
      <alignment horizontal="center" vertical="center" wrapText="1" readingOrder="1"/>
    </xf>
    <xf numFmtId="0" fontId="0" fillId="3" borderId="19" xfId="0" applyFill="1" applyBorder="1" applyAlignment="1">
      <alignment horizontal="center" vertical="center" wrapText="1" readingOrder="1"/>
    </xf>
    <xf numFmtId="0" fontId="0" fillId="3" borderId="20" xfId="0" applyFill="1" applyBorder="1" applyAlignment="1">
      <alignment horizontal="center" vertical="center" wrapText="1" readingOrder="1"/>
    </xf>
    <xf numFmtId="3" fontId="7" fillId="3" borderId="15" xfId="0" applyNumberFormat="1" applyFont="1" applyFill="1" applyBorder="1" applyAlignment="1">
      <alignment horizontal="center" vertical="center" wrapText="1" readingOrder="1"/>
    </xf>
    <xf numFmtId="3" fontId="7" fillId="3" borderId="16" xfId="0" applyNumberFormat="1" applyFont="1" applyFill="1" applyBorder="1" applyAlignment="1">
      <alignment horizontal="center" vertical="center" wrapText="1" readingOrder="1"/>
    </xf>
    <xf numFmtId="3" fontId="7" fillId="3" borderId="17" xfId="0" applyNumberFormat="1" applyFont="1" applyFill="1" applyBorder="1" applyAlignment="1">
      <alignment horizontal="center" vertical="center" wrapText="1" readingOrder="1"/>
    </xf>
    <xf numFmtId="49" fontId="7" fillId="2" borderId="9" xfId="0" applyNumberFormat="1" applyFont="1" applyFill="1" applyBorder="1" applyAlignment="1">
      <alignment horizontal="center" vertical="center" wrapText="1" readingOrder="1"/>
    </xf>
    <xf numFmtId="0" fontId="7" fillId="2" borderId="13" xfId="0" applyFont="1" applyFill="1" applyBorder="1" applyAlignment="1">
      <alignment horizontal="center" vertical="center" wrapText="1" readingOrder="1"/>
    </xf>
    <xf numFmtId="0" fontId="7" fillId="2" borderId="10" xfId="0" applyNumberFormat="1" applyFont="1" applyFill="1" applyBorder="1" applyAlignment="1">
      <alignment horizontal="center" vertical="center" wrapText="1" readingOrder="1"/>
    </xf>
    <xf numFmtId="0" fontId="7" fillId="2" borderId="11" xfId="0" applyFont="1" applyFill="1" applyBorder="1" applyAlignment="1">
      <alignment horizontal="center" vertical="center" wrapText="1" readingOrder="1"/>
    </xf>
    <xf numFmtId="0" fontId="7" fillId="2" borderId="12" xfId="0" applyFont="1" applyFill="1" applyBorder="1" applyAlignment="1">
      <alignment horizontal="center" vertical="center" wrapText="1" readingOrder="1"/>
    </xf>
    <xf numFmtId="49" fontId="7" fillId="5" borderId="9" xfId="0" applyNumberFormat="1" applyFont="1" applyFill="1" applyBorder="1" applyAlignment="1">
      <alignment horizontal="center" vertical="center" wrapText="1" readingOrder="1"/>
    </xf>
    <xf numFmtId="0" fontId="7" fillId="5" borderId="13" xfId="0" applyFont="1" applyFill="1" applyBorder="1" applyAlignment="1">
      <alignment horizontal="center" vertical="center" wrapText="1" readingOrder="1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</cellXfs>
  <cellStyles count="91">
    <cellStyle name="20% - 강조색1" xfId="21" builtinId="30" customBuiltin="1"/>
    <cellStyle name="20% - 강조색1 2" xfId="58" xr:uid="{040F82FA-7ADF-4AA9-8163-A1EF26D5EDE8}"/>
    <cellStyle name="20% - 강조색2" xfId="24" builtinId="34" customBuiltin="1"/>
    <cellStyle name="20% - 강조색2 2" xfId="59" xr:uid="{1D6C80C9-2D7E-4819-8C9E-8A1BEF241612}"/>
    <cellStyle name="20% - 강조색3" xfId="27" builtinId="38" customBuiltin="1"/>
    <cellStyle name="20% - 강조색3 2" xfId="60" xr:uid="{3F47579E-0CF7-430C-A0BF-8B7C856F3D23}"/>
    <cellStyle name="20% - 강조색4" xfId="30" builtinId="42" customBuiltin="1"/>
    <cellStyle name="20% - 강조색4 2" xfId="61" xr:uid="{A6E1F971-298D-4A71-BE77-F1FBA72779F8}"/>
    <cellStyle name="20% - 강조색5" xfId="33" builtinId="46" customBuiltin="1"/>
    <cellStyle name="20% - 강조색5 2" xfId="62" xr:uid="{A222D6C1-6E1B-4B99-8660-457F2346825E}"/>
    <cellStyle name="20% - 강조색6" xfId="36" builtinId="50" customBuiltin="1"/>
    <cellStyle name="20% - 강조색6 2" xfId="63" xr:uid="{1A239BD5-2AFE-4EAF-A43D-8120F6C30F6D}"/>
    <cellStyle name="40% - 강조색1" xfId="22" builtinId="31" customBuiltin="1"/>
    <cellStyle name="40% - 강조색1 2" xfId="64" xr:uid="{4C4F68B3-894F-4C59-85A2-348EB88ABC39}"/>
    <cellStyle name="40% - 강조색2" xfId="25" builtinId="35" customBuiltin="1"/>
    <cellStyle name="40% - 강조색2 2" xfId="65" xr:uid="{76E4D5BF-01C1-485C-B641-FD0B61E59F85}"/>
    <cellStyle name="40% - 강조색3" xfId="28" builtinId="39" customBuiltin="1"/>
    <cellStyle name="40% - 강조색3 2" xfId="66" xr:uid="{ACD41FB1-6DB9-4879-B135-B8D8F726E85D}"/>
    <cellStyle name="40% - 강조색4" xfId="31" builtinId="43" customBuiltin="1"/>
    <cellStyle name="40% - 강조색4 2" xfId="67" xr:uid="{189A8584-AED9-4161-BCCE-3A7BBC6D39C1}"/>
    <cellStyle name="40% - 강조색5" xfId="34" builtinId="47" customBuiltin="1"/>
    <cellStyle name="40% - 강조색5 2" xfId="68" xr:uid="{8DF99EC8-2FC6-457B-8AE2-821F37CFFE9A}"/>
    <cellStyle name="40% - 강조색6" xfId="37" builtinId="51" customBuiltin="1"/>
    <cellStyle name="40% - 강조색6 2" xfId="69" xr:uid="{1F8A9D5F-7B04-4D8B-8C1A-D58F9E7F01B4}"/>
    <cellStyle name="60% - 강조색1 2" xfId="52" xr:uid="{C6DAB70E-331B-4238-ABA9-F66B6534736B}"/>
    <cellStyle name="60% - 강조색1 2 2" xfId="70" xr:uid="{E6FDE41B-D9CD-4DA6-BC0C-A3E39F3CF8C3}"/>
    <cellStyle name="60% - 강조색1 3" xfId="45" xr:uid="{DBD0FF2A-CCAB-4F28-A6B4-406DCD0FC2D8}"/>
    <cellStyle name="60% - 강조색2 2" xfId="53" xr:uid="{729D9B4D-EDFF-4554-8144-8439CF13B09E}"/>
    <cellStyle name="60% - 강조색2 2 2" xfId="71" xr:uid="{0064A975-AD03-4E43-A641-44DFD416C804}"/>
    <cellStyle name="60% - 강조색2 3" xfId="46" xr:uid="{112FC9E6-FF4B-4086-BFD8-B937D7280BC5}"/>
    <cellStyle name="60% - 강조색3 2" xfId="54" xr:uid="{6109B3E3-AB82-4FD7-9F93-DA33CB98E7A4}"/>
    <cellStyle name="60% - 강조색3 2 2" xfId="72" xr:uid="{1A04ADD3-C7DA-402C-9B5A-8C71D2851BD9}"/>
    <cellStyle name="60% - 강조색3 3" xfId="47" xr:uid="{A16E341E-A082-4552-87F5-2561C0CEF3F2}"/>
    <cellStyle name="60% - 강조색4 2" xfId="55" xr:uid="{D0399A12-6FC1-445A-9A26-B89377532EC0}"/>
    <cellStyle name="60% - 강조색4 2 2" xfId="73" xr:uid="{D6AF3C7F-854C-4E66-99FA-F0669B4B351E}"/>
    <cellStyle name="60% - 강조색4 3" xfId="48" xr:uid="{9A7A8CAA-B9C0-4939-9A1D-5B2066D2A928}"/>
    <cellStyle name="60% - 강조색5 2" xfId="56" xr:uid="{C2788FB4-D2A4-4D32-9D3A-497C854C6655}"/>
    <cellStyle name="60% - 강조색5 2 2" xfId="74" xr:uid="{40271EEF-1416-4B43-B4C6-8B6FDE6D4531}"/>
    <cellStyle name="60% - 강조색5 3" xfId="49" xr:uid="{E77324F6-780F-4816-A65C-3AD3763A350E}"/>
    <cellStyle name="60% - 강조색6 2" xfId="57" xr:uid="{F87E36B3-4A29-4D7C-BD77-A041267B5238}"/>
    <cellStyle name="60% - 강조색6 2 2" xfId="75" xr:uid="{DB1E97EE-FC24-4957-8761-BAB045BE1EC8}"/>
    <cellStyle name="60% - 강조색6 3" xfId="50" xr:uid="{7D50C24A-9FCE-4A4F-9BD7-5E66A458DA57}"/>
    <cellStyle name="강조색1" xfId="20" builtinId="29" customBuiltin="1"/>
    <cellStyle name="강조색2" xfId="23" builtinId="33" customBuiltin="1"/>
    <cellStyle name="강조색3" xfId="26" builtinId="37" customBuiltin="1"/>
    <cellStyle name="강조색4" xfId="29" builtinId="41" customBuiltin="1"/>
    <cellStyle name="강조색5" xfId="32" builtinId="45" customBuiltin="1"/>
    <cellStyle name="강조색6" xfId="35" builtinId="49" customBuiltin="1"/>
    <cellStyle name="경고문" xfId="17" builtinId="11" customBuiltin="1"/>
    <cellStyle name="계산" xfId="14" builtinId="22" customBuiltin="1"/>
    <cellStyle name="나쁨" xfId="11" builtinId="27" customBuiltin="1"/>
    <cellStyle name="메모 2" xfId="44" xr:uid="{718BB0DD-3A08-473A-9160-12BB3E04808B}"/>
    <cellStyle name="메모 2 2" xfId="76" xr:uid="{DF53B0A8-DC50-4BF3-A68A-21DC51F2BF08}"/>
    <cellStyle name="메모 3" xfId="77" xr:uid="{E3536E68-6ACB-4AC2-8641-40664678E039}"/>
    <cellStyle name="백분율" xfId="4" builtinId="5"/>
    <cellStyle name="백분율 2" xfId="41" xr:uid="{74E4DA7D-D207-4E0D-91BC-1F94B57636B1}"/>
    <cellStyle name="보통 2" xfId="51" xr:uid="{96F4EE31-2A3A-4E02-A3B0-5A7FA5A9BD38}"/>
    <cellStyle name="보통 3" xfId="43" xr:uid="{E86A404D-3D16-4147-85D1-CF4376199351}"/>
    <cellStyle name="설명 텍스트" xfId="18" builtinId="53" customBuiltin="1"/>
    <cellStyle name="셀 확인" xfId="16" builtinId="23" customBuiltin="1"/>
    <cellStyle name="쉼표 [0] 2" xfId="3" xr:uid="{00000000-0005-0000-0000-000001000000}"/>
    <cellStyle name="쉼표 [0] 2 2" xfId="42" xr:uid="{6EDCFD92-675E-4F41-9E42-086A1261B5FF}"/>
    <cellStyle name="쉼표 [0] 2 2 2" xfId="78" xr:uid="{945B2B75-F6AE-4692-828B-BECBD477DCAD}"/>
    <cellStyle name="쉼표 [0] 2 2 3" xfId="79" xr:uid="{4593CFFA-16BD-4508-99A3-738CE9BDC697}"/>
    <cellStyle name="쉼표 [0] 2 2 4" xfId="80" xr:uid="{1E052DC8-A477-460D-9C93-517496C1699B}"/>
    <cellStyle name="쉼표 [0] 2 2 5" xfId="81" xr:uid="{C938AA2E-3324-4250-96B9-0AEBDD8D396F}"/>
    <cellStyle name="쉼표 [0] 2 3" xfId="40" xr:uid="{6B9B7D8A-692C-4A48-9387-3E99A6D62B24}"/>
    <cellStyle name="쉼표 [0] 2 3 2" xfId="82" xr:uid="{B8A8B7B2-57F8-4388-A357-FEA8F36CEB8C}"/>
    <cellStyle name="쉼표 [0] 2 3 3" xfId="83" xr:uid="{50041D67-E759-40CF-8D01-6968CDD259AF}"/>
    <cellStyle name="쉼표 [0] 2 3 4" xfId="84" xr:uid="{ECDCEB8D-1692-4AEC-BBB5-FEED643627E4}"/>
    <cellStyle name="쉼표 [0] 2 4" xfId="85" xr:uid="{AB804913-4381-46F8-A22C-D8758C24A5DA}"/>
    <cellStyle name="쉼표 [0] 2 5" xfId="86" xr:uid="{32907927-72FC-4B1E-B855-B3059FB36FA1}"/>
    <cellStyle name="쉼표 [0] 2 6" xfId="87" xr:uid="{874FAD24-10FF-4969-93F5-B6B78AB10B3B}"/>
    <cellStyle name="쉼표 [0] 2 7" xfId="88" xr:uid="{15E2FB87-C870-4BE2-B192-6E04E0BBF2B1}"/>
    <cellStyle name="연결된 셀" xfId="15" builtinId="24" customBuiltin="1"/>
    <cellStyle name="요약" xfId="19" builtinId="25" customBuiltin="1"/>
    <cellStyle name="입력" xfId="12" builtinId="20" customBuiltin="1"/>
    <cellStyle name="제목" xfId="5" builtinId="15" customBuiltin="1"/>
    <cellStyle name="제목 1" xfId="6" builtinId="16" customBuiltin="1"/>
    <cellStyle name="제목 2" xfId="7" builtinId="17" customBuiltin="1"/>
    <cellStyle name="제목 3" xfId="8" builtinId="18" customBuiltin="1"/>
    <cellStyle name="제목 4" xfId="9" builtinId="19" customBuiltin="1"/>
    <cellStyle name="좋음" xfId="10" builtinId="26" customBuiltin="1"/>
    <cellStyle name="출력" xfId="13" builtinId="21" customBuiltin="1"/>
    <cellStyle name="표준" xfId="0" builtinId="0"/>
    <cellStyle name="표준 2" xfId="1" xr:uid="{00000000-0005-0000-0000-000003000000}"/>
    <cellStyle name="표준 3" xfId="2" xr:uid="{00000000-0005-0000-0000-000004000000}"/>
    <cellStyle name="표준 4" xfId="39" xr:uid="{853C96CF-5E97-4448-8F56-363684961CFF}"/>
    <cellStyle name="표준 5" xfId="38" xr:uid="{996AF313-8DC2-4197-969D-6F116C541D26}"/>
    <cellStyle name="표준 5 2" xfId="89" xr:uid="{7E48F3EA-EF23-40E5-893C-135C2B8EF6F4}"/>
    <cellStyle name="표준 6" xfId="90" xr:uid="{7B17CFF8-656F-47CB-BFD0-4439C851728A}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FFFFFF"/>
      <rgbColor rgb="FF17375E"/>
      <rgbColor rgb="FF558ED5"/>
      <rgbColor rgb="FFAAAAAA"/>
      <rgbColor rgb="FF2D4D6A"/>
      <rgbColor rgb="FF44749F"/>
      <rgbColor rgb="FFD9D9D9"/>
      <rgbColor rgb="FFFF0000"/>
      <rgbColor rgb="FFFFC9B1"/>
      <rgbColor rgb="FFC8C8C8"/>
      <rgbColor rgb="FF9CC2E5"/>
      <rgbColor rgb="FFFFC000"/>
      <rgbColor rgb="FF0070C0"/>
      <rgbColor rgb="FF333333"/>
      <rgbColor rgb="FFFCD5B5"/>
      <rgbColor rgb="FFFFFF00"/>
      <rgbColor rgb="FFBFBFBF"/>
      <rgbColor rgb="FF595959"/>
      <rgbColor rgb="FFB4C6E7"/>
      <rgbColor rgb="FFA9CD90"/>
      <rgbColor rgb="FF00B050"/>
      <rgbColor rgb="FF7030A0"/>
      <rgbColor rgb="FFFF9966"/>
      <rgbColor rgb="FFFFD966"/>
      <rgbColor rgb="FFF2F2F2"/>
      <rgbColor rgb="FF7F7F7F"/>
      <rgbColor rgb="FFFF9933"/>
      <rgbColor rgb="FFDEEBF7"/>
      <rgbColor rgb="FFBDD6EE"/>
      <rgbColor rgb="FFA5A5A5"/>
      <rgbColor rgb="FFE2EEDA"/>
      <rgbColor rgb="FFF4B083"/>
      <rgbColor rgb="FFDCE6F2"/>
      <rgbColor rgb="FFD9E2F3"/>
      <rgbColor rgb="FFFFF2CB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2536799999999999E-2"/>
          <c:y val="3.3474700000000003E-2"/>
          <c:w val="0.92246300000000003"/>
          <c:h val="0.85494000000000003"/>
        </c:manualLayout>
      </c:layout>
      <c:lineChart>
        <c:grouping val="standard"/>
        <c:varyColors val="0"/>
        <c:ser>
          <c:idx val="0"/>
          <c:order val="0"/>
          <c:tx>
            <c:strRef>
              <c:f>페이지로드속도_CN!$B$1</c:f>
              <c:strCache>
                <c:ptCount val="1"/>
                <c:pt idx="0">
                  <c:v>오피셜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페이지로드속도_CN!$A$2:$A$32</c:f>
              <c:numCache>
                <c:formatCode>m"/"d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페이지로드속도_CN!$B$2:$B$32</c:f>
              <c:numCache>
                <c:formatCode>0.00</c:formatCode>
                <c:ptCount val="31"/>
                <c:pt idx="0">
                  <c:v>114.333</c:v>
                </c:pt>
                <c:pt idx="1">
                  <c:v>60.852874999999997</c:v>
                </c:pt>
                <c:pt idx="2">
                  <c:v>14.8161515151515</c:v>
                </c:pt>
                <c:pt idx="3">
                  <c:v>14.298999999999999</c:v>
                </c:pt>
                <c:pt idx="4">
                  <c:v>267.113</c:v>
                </c:pt>
                <c:pt idx="5">
                  <c:v>51.524000000000001</c:v>
                </c:pt>
                <c:pt idx="6">
                  <c:v>0.50676190476190497</c:v>
                </c:pt>
                <c:pt idx="7">
                  <c:v>5.0303333333333304</c:v>
                </c:pt>
                <c:pt idx="8">
                  <c:v>59.353124999999999</c:v>
                </c:pt>
                <c:pt idx="9">
                  <c:v>1.9813750000000001</c:v>
                </c:pt>
                <c:pt idx="10">
                  <c:v>31.9576666666667</c:v>
                </c:pt>
                <c:pt idx="11">
                  <c:v>83.950333333333305</c:v>
                </c:pt>
                <c:pt idx="12">
                  <c:v>65.168888888888901</c:v>
                </c:pt>
                <c:pt idx="13">
                  <c:v>21.984000000000002</c:v>
                </c:pt>
                <c:pt idx="14">
                  <c:v>8.0129999999999999</c:v>
                </c:pt>
                <c:pt idx="15">
                  <c:v>51.274999999999999</c:v>
                </c:pt>
                <c:pt idx="16">
                  <c:v>11.179500000000001</c:v>
                </c:pt>
                <c:pt idx="17">
                  <c:v>4.4546666666666699</c:v>
                </c:pt>
                <c:pt idx="18">
                  <c:v>6.0125000000000002</c:v>
                </c:pt>
                <c:pt idx="19">
                  <c:v>79.738384615384604</c:v>
                </c:pt>
                <c:pt idx="20">
                  <c:v>83.652000000000001</c:v>
                </c:pt>
                <c:pt idx="21">
                  <c:v>1.675</c:v>
                </c:pt>
                <c:pt idx="22">
                  <c:v>108.791</c:v>
                </c:pt>
                <c:pt idx="23">
                  <c:v>24.133375000000001</c:v>
                </c:pt>
                <c:pt idx="24">
                  <c:v>7.5446666666666697</c:v>
                </c:pt>
                <c:pt idx="25">
                  <c:v>1.18966666666667</c:v>
                </c:pt>
                <c:pt idx="26">
                  <c:v>53.033333333333303</c:v>
                </c:pt>
                <c:pt idx="27">
                  <c:v>10.01</c:v>
                </c:pt>
                <c:pt idx="28">
                  <c:v>0</c:v>
                </c:pt>
                <c:pt idx="29">
                  <c:v>14.339</c:v>
                </c:pt>
                <c:pt idx="30">
                  <c:v>18.8183333333333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8-453F-9AA5-4F14081AC532}"/>
            </c:ext>
          </c:extLst>
        </c:ser>
        <c:ser>
          <c:idx val="1"/>
          <c:order val="1"/>
          <c:tx>
            <c:strRef>
              <c:f>페이지로드속도_CN!$C$1</c:f>
              <c:strCache>
                <c:ptCount val="1"/>
                <c:pt idx="0">
                  <c:v>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페이지로드속도_CN!$A$2:$A$32</c:f>
              <c:numCache>
                <c:formatCode>m"/"d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페이지로드속도_CN!$C$2:$C$32</c:f>
              <c:numCache>
                <c:formatCode>0.00</c:formatCode>
                <c:ptCount val="31"/>
                <c:pt idx="0">
                  <c:v>0</c:v>
                </c:pt>
                <c:pt idx="1">
                  <c:v>17.975000000000001</c:v>
                </c:pt>
                <c:pt idx="2">
                  <c:v>103.4426</c:v>
                </c:pt>
                <c:pt idx="3">
                  <c:v>36.960599999999999</c:v>
                </c:pt>
                <c:pt idx="4">
                  <c:v>69.692750000000004</c:v>
                </c:pt>
                <c:pt idx="5">
                  <c:v>58.816400000000002</c:v>
                </c:pt>
                <c:pt idx="6">
                  <c:v>287.27999999999997</c:v>
                </c:pt>
                <c:pt idx="7">
                  <c:v>91.498000000000005</c:v>
                </c:pt>
                <c:pt idx="8">
                  <c:v>12.987222222222201</c:v>
                </c:pt>
                <c:pt idx="9">
                  <c:v>10.558125</c:v>
                </c:pt>
                <c:pt idx="10">
                  <c:v>53.1875</c:v>
                </c:pt>
                <c:pt idx="11">
                  <c:v>38.330125000000002</c:v>
                </c:pt>
                <c:pt idx="12">
                  <c:v>20.092666666666702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29.32</c:v>
                </c:pt>
                <c:pt idx="17">
                  <c:v>13.167999999999999</c:v>
                </c:pt>
                <c:pt idx="18">
                  <c:v>17.704888888888899</c:v>
                </c:pt>
                <c:pt idx="19">
                  <c:v>34.973428571428599</c:v>
                </c:pt>
                <c:pt idx="20">
                  <c:v>57.014000000000003</c:v>
                </c:pt>
                <c:pt idx="21">
                  <c:v>9.4265000000000008</c:v>
                </c:pt>
                <c:pt idx="22">
                  <c:v>15.51</c:v>
                </c:pt>
                <c:pt idx="23">
                  <c:v>10.3601428571429</c:v>
                </c:pt>
                <c:pt idx="24">
                  <c:v>3.8374999999999999</c:v>
                </c:pt>
                <c:pt idx="25">
                  <c:v>0</c:v>
                </c:pt>
                <c:pt idx="26">
                  <c:v>10.503833333333301</c:v>
                </c:pt>
                <c:pt idx="27">
                  <c:v>13.2216666666667</c:v>
                </c:pt>
                <c:pt idx="28">
                  <c:v>0</c:v>
                </c:pt>
                <c:pt idx="29">
                  <c:v>65.272999999999996</c:v>
                </c:pt>
                <c:pt idx="30">
                  <c:v>8.4453157894736908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28-453F-9AA5-4F14081AC532}"/>
            </c:ext>
          </c:extLst>
        </c:ser>
        <c:ser>
          <c:idx val="2"/>
          <c:order val="2"/>
          <c:tx>
            <c:strRef>
              <c:f>페이지로드속도_CN!$D$1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페이지로드속도_CN!$A$2:$A$32</c:f>
              <c:numCache>
                <c:formatCode>m"/"d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페이지로드속도_CN!$D$2:$D$32</c:f>
              <c:numCache>
                <c:formatCode>0.00</c:formatCode>
                <c:ptCount val="31"/>
                <c:pt idx="0">
                  <c:v>0</c:v>
                </c:pt>
                <c:pt idx="1">
                  <c:v>148.33000000000001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12.847</c:v>
                </c:pt>
                <c:pt idx="6">
                  <c:v>0</c:v>
                </c:pt>
                <c:pt idx="7">
                  <c:v>1.556</c:v>
                </c:pt>
                <c:pt idx="8">
                  <c:v>0</c:v>
                </c:pt>
                <c:pt idx="9">
                  <c:v>1.9864999999999999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26.902000000000001</c:v>
                </c:pt>
                <c:pt idx="21">
                  <c:v>0</c:v>
                </c:pt>
                <c:pt idx="22">
                  <c:v>0</c:v>
                </c:pt>
                <c:pt idx="23">
                  <c:v>52.555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28-453F-9AA5-4F14081AC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7344"/>
        <c:axId val="1458976"/>
      </c:lineChart>
      <c:dateAx>
        <c:axId val="1457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나눔고딕"/>
              </a:defRPr>
            </a:pPr>
            <a:endParaRPr lang="ko-KR"/>
          </a:p>
        </c:txPr>
        <c:crossAx val="1458976"/>
        <c:crosses val="autoZero"/>
        <c:auto val="1"/>
        <c:lblOffset val="100"/>
        <c:baseTimeUnit val="days"/>
      </c:dateAx>
      <c:valAx>
        <c:axId val="1458976"/>
        <c:scaling>
          <c:orientation val="minMax"/>
          <c:max val="300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나눔고딕"/>
              </a:defRPr>
            </a:pPr>
            <a:endParaRPr lang="ko-KR"/>
          </a:p>
        </c:txPr>
        <c:crossAx val="1457344"/>
        <c:crosses val="autoZero"/>
        <c:crossBetween val="between"/>
        <c:majorUnit val="75"/>
        <c:minorUnit val="37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86125"/>
          <c:y val="0.95402500000000001"/>
          <c:w val="0.24851200000000001"/>
          <c:h val="4.59747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00" b="0" i="0" u="none" strike="noStrike">
              <a:solidFill>
                <a:srgbClr val="595959"/>
              </a:solidFill>
              <a:latin typeface="나눔고딕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44547</xdr:colOff>
      <xdr:row>1</xdr:row>
      <xdr:rowOff>95250</xdr:rowOff>
    </xdr:from>
    <xdr:to>
      <xdr:col>15</xdr:col>
      <xdr:colOff>522078</xdr:colOff>
      <xdr:row>19</xdr:row>
      <xdr:rowOff>117263</xdr:rowOff>
    </xdr:to>
    <xdr:graphicFrame macro="">
      <xdr:nvGraphicFramePr>
        <xdr:cNvPr id="9" name="차트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나눔고딕"/>
        <a:ea typeface="나눔고딕"/>
        <a:cs typeface="나눔고딕"/>
      </a:majorFont>
      <a:minorFont>
        <a:latin typeface="나눔고딕"/>
        <a:ea typeface="나눔고딕"/>
        <a:cs typeface="나눔고딕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나눔고딕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나눔고딕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D7FC-2607-476C-AA90-E02F6DF33EBA}">
  <dimension ref="A1:J18"/>
  <sheetViews>
    <sheetView tabSelected="1" zoomScaleNormal="100" workbookViewId="0">
      <selection activeCell="F4" sqref="F4:H7"/>
    </sheetView>
  </sheetViews>
  <sheetFormatPr defaultColWidth="8.8984375" defaultRowHeight="17.399999999999999" x14ac:dyDescent="0.4"/>
  <cols>
    <col min="3" max="3" width="8.8984375" style="63"/>
    <col min="8" max="8" width="8.8984375" customWidth="1"/>
    <col min="9" max="10" width="12.8984375" customWidth="1"/>
  </cols>
  <sheetData>
    <row r="1" spans="1:10" x14ac:dyDescent="0.4">
      <c r="A1" s="88" t="s">
        <v>81</v>
      </c>
      <c r="B1" s="88"/>
      <c r="C1" s="88"/>
      <c r="D1" s="88"/>
      <c r="E1" s="88"/>
      <c r="F1" s="89"/>
      <c r="G1" s="89"/>
      <c r="H1" s="89"/>
      <c r="I1" s="88" t="s">
        <v>0</v>
      </c>
      <c r="J1" s="90"/>
    </row>
    <row r="2" spans="1:10" ht="24" customHeight="1" x14ac:dyDescent="0.4">
      <c r="A2" s="91"/>
      <c r="B2" s="93" t="s">
        <v>22</v>
      </c>
      <c r="C2" s="94"/>
      <c r="D2" s="94"/>
      <c r="E2" s="94"/>
      <c r="F2" s="97" t="s">
        <v>2</v>
      </c>
      <c r="G2" s="97"/>
      <c r="H2" s="97"/>
      <c r="I2" s="95" t="s">
        <v>3</v>
      </c>
      <c r="J2" s="96" t="s">
        <v>4</v>
      </c>
    </row>
    <row r="3" spans="1:10" x14ac:dyDescent="0.4">
      <c r="A3" s="92"/>
      <c r="B3" s="64" t="s">
        <v>5</v>
      </c>
      <c r="C3" s="71" t="s">
        <v>6</v>
      </c>
      <c r="D3" s="64" t="s">
        <v>7</v>
      </c>
      <c r="E3" s="64" t="s">
        <v>8</v>
      </c>
      <c r="F3" s="84" t="s">
        <v>5</v>
      </c>
      <c r="G3" s="86" t="s">
        <v>6</v>
      </c>
      <c r="H3" s="84" t="s">
        <v>7</v>
      </c>
      <c r="I3" s="96"/>
      <c r="J3" s="96"/>
    </row>
    <row r="4" spans="1:10" ht="25.35" customHeight="1" x14ac:dyDescent="0.4">
      <c r="A4" s="65" t="s">
        <v>9</v>
      </c>
      <c r="B4" s="66" t="s">
        <v>82</v>
      </c>
      <c r="C4" s="66" t="s">
        <v>82</v>
      </c>
      <c r="D4" s="66" t="s">
        <v>82</v>
      </c>
      <c r="E4" s="67">
        <f t="shared" ref="E4:E15" si="0">SUM(B4:D4)</f>
        <v>0</v>
      </c>
      <c r="F4" s="78" t="str">
        <f>IFERROR(B4/7007-1,"-")</f>
        <v>-</v>
      </c>
      <c r="G4" s="78" t="str">
        <f>IFERROR(C4/596-1,"-")</f>
        <v>-</v>
      </c>
      <c r="H4" s="78" t="str">
        <f>IFERROR(D4/226-1,"-")</f>
        <v>-</v>
      </c>
      <c r="I4" s="77">
        <v>0</v>
      </c>
      <c r="J4" s="79" t="e">
        <f>(E4-I4)/I4</f>
        <v>#DIV/0!</v>
      </c>
    </row>
    <row r="5" spans="1:10" ht="25.35" customHeight="1" x14ac:dyDescent="0.4">
      <c r="A5" s="65" t="s">
        <v>10</v>
      </c>
      <c r="B5" s="66" t="s">
        <v>82</v>
      </c>
      <c r="C5" s="66" t="s">
        <v>82</v>
      </c>
      <c r="D5" s="66" t="s">
        <v>82</v>
      </c>
      <c r="E5" s="67">
        <f t="shared" si="0"/>
        <v>0</v>
      </c>
      <c r="F5" s="78" t="str">
        <f t="shared" ref="F5:H15" si="1">IFERROR(B5/B4-1,"-")</f>
        <v>-</v>
      </c>
      <c r="G5" s="78" t="str">
        <f t="shared" si="1"/>
        <v>-</v>
      </c>
      <c r="H5" s="78" t="str">
        <f t="shared" si="1"/>
        <v>-</v>
      </c>
      <c r="I5" s="77">
        <v>0</v>
      </c>
      <c r="J5" s="79" t="e">
        <f t="shared" ref="J5:J15" si="2">(E5-I5)/I5</f>
        <v>#DIV/0!</v>
      </c>
    </row>
    <row r="6" spans="1:10" ht="25.35" customHeight="1" x14ac:dyDescent="0.4">
      <c r="A6" s="65" t="s">
        <v>11</v>
      </c>
      <c r="B6" s="66" t="s">
        <v>82</v>
      </c>
      <c r="C6" s="66" t="s">
        <v>82</v>
      </c>
      <c r="D6" s="66" t="s">
        <v>82</v>
      </c>
      <c r="E6" s="67">
        <f t="shared" si="0"/>
        <v>0</v>
      </c>
      <c r="F6" s="78" t="str">
        <f t="shared" si="1"/>
        <v>-</v>
      </c>
      <c r="G6" s="78" t="str">
        <f t="shared" si="1"/>
        <v>-</v>
      </c>
      <c r="H6" s="78" t="str">
        <f t="shared" si="1"/>
        <v>-</v>
      </c>
      <c r="I6" s="77">
        <v>0</v>
      </c>
      <c r="J6" s="79" t="e">
        <f t="shared" si="2"/>
        <v>#DIV/0!</v>
      </c>
    </row>
    <row r="7" spans="1:10" ht="25.35" customHeight="1" x14ac:dyDescent="0.4">
      <c r="A7" s="65" t="s">
        <v>12</v>
      </c>
      <c r="B7" s="66" t="s">
        <v>82</v>
      </c>
      <c r="C7" s="66" t="s">
        <v>82</v>
      </c>
      <c r="D7" s="66" t="s">
        <v>82</v>
      </c>
      <c r="E7" s="67">
        <f t="shared" si="0"/>
        <v>0</v>
      </c>
      <c r="F7" s="78" t="str">
        <f t="shared" si="1"/>
        <v>-</v>
      </c>
      <c r="G7" s="78" t="str">
        <f t="shared" si="1"/>
        <v>-</v>
      </c>
      <c r="H7" s="78" t="str">
        <f t="shared" si="1"/>
        <v>-</v>
      </c>
      <c r="I7" s="77">
        <v>0</v>
      </c>
      <c r="J7" s="79" t="e">
        <f t="shared" si="2"/>
        <v>#DIV/0!</v>
      </c>
    </row>
    <row r="8" spans="1:10" ht="25.35" customHeight="1" x14ac:dyDescent="0.4">
      <c r="A8" s="65" t="s">
        <v>13</v>
      </c>
      <c r="B8" s="66" t="s">
        <v>82</v>
      </c>
      <c r="C8" s="66" t="s">
        <v>82</v>
      </c>
      <c r="D8" s="66" t="s">
        <v>82</v>
      </c>
      <c r="E8" s="67">
        <f t="shared" si="0"/>
        <v>0</v>
      </c>
      <c r="F8" s="78" t="str">
        <f t="shared" si="1"/>
        <v>-</v>
      </c>
      <c r="G8" s="78" t="str">
        <f t="shared" si="1"/>
        <v>-</v>
      </c>
      <c r="H8" s="78" t="str">
        <f t="shared" si="1"/>
        <v>-</v>
      </c>
      <c r="I8" s="77">
        <v>1111</v>
      </c>
      <c r="J8" s="79">
        <f t="shared" si="2"/>
        <v>-1</v>
      </c>
    </row>
    <row r="9" spans="1:10" ht="25.35" customHeight="1" x14ac:dyDescent="0.4">
      <c r="A9" s="65" t="s">
        <v>14</v>
      </c>
      <c r="B9" s="66" t="s">
        <v>82</v>
      </c>
      <c r="C9" s="66" t="s">
        <v>82</v>
      </c>
      <c r="D9" s="66" t="s">
        <v>82</v>
      </c>
      <c r="E9" s="67">
        <f t="shared" si="0"/>
        <v>0</v>
      </c>
      <c r="F9" s="78" t="str">
        <f t="shared" si="1"/>
        <v>-</v>
      </c>
      <c r="G9" s="78" t="str">
        <f t="shared" si="1"/>
        <v>-</v>
      </c>
      <c r="H9" s="78" t="str">
        <f t="shared" si="1"/>
        <v>-</v>
      </c>
      <c r="I9" s="77">
        <v>1111</v>
      </c>
      <c r="J9" s="79">
        <f t="shared" si="2"/>
        <v>-1</v>
      </c>
    </row>
    <row r="10" spans="1:10" ht="25.35" customHeight="1" x14ac:dyDescent="0.4">
      <c r="A10" s="65" t="s">
        <v>15</v>
      </c>
      <c r="B10" s="66" t="s">
        <v>82</v>
      </c>
      <c r="C10" s="66" t="s">
        <v>82</v>
      </c>
      <c r="D10" s="66" t="s">
        <v>82</v>
      </c>
      <c r="E10" s="67">
        <f t="shared" si="0"/>
        <v>0</v>
      </c>
      <c r="F10" s="78" t="str">
        <f t="shared" si="1"/>
        <v>-</v>
      </c>
      <c r="G10" s="78" t="str">
        <f t="shared" si="1"/>
        <v>-</v>
      </c>
      <c r="H10" s="78" t="str">
        <f t="shared" si="1"/>
        <v>-</v>
      </c>
      <c r="I10" s="77">
        <v>1111</v>
      </c>
      <c r="J10" s="79">
        <f t="shared" si="2"/>
        <v>-1</v>
      </c>
    </row>
    <row r="11" spans="1:10" ht="25.35" customHeight="1" x14ac:dyDescent="0.4">
      <c r="A11" s="65" t="s">
        <v>16</v>
      </c>
      <c r="B11" s="66" t="s">
        <v>82</v>
      </c>
      <c r="C11" s="66" t="s">
        <v>82</v>
      </c>
      <c r="D11" s="66" t="s">
        <v>82</v>
      </c>
      <c r="E11" s="67">
        <f t="shared" si="0"/>
        <v>0</v>
      </c>
      <c r="F11" s="78" t="str">
        <f t="shared" si="1"/>
        <v>-</v>
      </c>
      <c r="G11" s="78" t="str">
        <f t="shared" si="1"/>
        <v>-</v>
      </c>
      <c r="H11" s="78" t="str">
        <f t="shared" si="1"/>
        <v>-</v>
      </c>
      <c r="I11" s="77">
        <v>1111</v>
      </c>
      <c r="J11" s="79">
        <f t="shared" si="2"/>
        <v>-1</v>
      </c>
    </row>
    <row r="12" spans="1:10" ht="25.35" customHeight="1" x14ac:dyDescent="0.4">
      <c r="A12" s="65" t="s">
        <v>17</v>
      </c>
      <c r="B12" s="66" t="s">
        <v>82</v>
      </c>
      <c r="C12" s="66" t="s">
        <v>82</v>
      </c>
      <c r="D12" s="66" t="s">
        <v>82</v>
      </c>
      <c r="E12" s="67">
        <f t="shared" si="0"/>
        <v>0</v>
      </c>
      <c r="F12" s="78" t="str">
        <f t="shared" si="1"/>
        <v>-</v>
      </c>
      <c r="G12" s="78" t="str">
        <f t="shared" si="1"/>
        <v>-</v>
      </c>
      <c r="H12" s="78" t="str">
        <f t="shared" si="1"/>
        <v>-</v>
      </c>
      <c r="I12" s="77">
        <v>1111</v>
      </c>
      <c r="J12" s="79">
        <f t="shared" si="2"/>
        <v>-1</v>
      </c>
    </row>
    <row r="13" spans="1:10" ht="25.35" customHeight="1" x14ac:dyDescent="0.4">
      <c r="A13" s="65" t="s">
        <v>18</v>
      </c>
      <c r="B13" s="66" t="s">
        <v>82</v>
      </c>
      <c r="C13" s="66" t="s">
        <v>82</v>
      </c>
      <c r="D13" s="66" t="s">
        <v>82</v>
      </c>
      <c r="E13" s="67">
        <f t="shared" si="0"/>
        <v>0</v>
      </c>
      <c r="F13" s="78" t="str">
        <f t="shared" si="1"/>
        <v>-</v>
      </c>
      <c r="G13" s="78" t="str">
        <f t="shared" si="1"/>
        <v>-</v>
      </c>
      <c r="H13" s="78" t="str">
        <f t="shared" si="1"/>
        <v>-</v>
      </c>
      <c r="I13" s="77">
        <v>1111</v>
      </c>
      <c r="J13" s="79">
        <f t="shared" si="2"/>
        <v>-1</v>
      </c>
    </row>
    <row r="14" spans="1:10" ht="25.35" customHeight="1" x14ac:dyDescent="0.4">
      <c r="A14" s="65" t="s">
        <v>19</v>
      </c>
      <c r="B14" s="66" t="s">
        <v>82</v>
      </c>
      <c r="C14" s="66" t="s">
        <v>82</v>
      </c>
      <c r="D14" s="66" t="s">
        <v>82</v>
      </c>
      <c r="E14" s="67">
        <f t="shared" si="0"/>
        <v>0</v>
      </c>
      <c r="F14" s="78" t="str">
        <f t="shared" si="1"/>
        <v>-</v>
      </c>
      <c r="G14" s="78" t="str">
        <f t="shared" si="1"/>
        <v>-</v>
      </c>
      <c r="H14" s="78" t="str">
        <f t="shared" si="1"/>
        <v>-</v>
      </c>
      <c r="I14" s="77">
        <v>1111</v>
      </c>
      <c r="J14" s="79">
        <f t="shared" si="2"/>
        <v>-1</v>
      </c>
    </row>
    <row r="15" spans="1:10" ht="25.35" customHeight="1" x14ac:dyDescent="0.4">
      <c r="A15" s="65" t="s">
        <v>20</v>
      </c>
      <c r="B15" s="66" t="s">
        <v>82</v>
      </c>
      <c r="C15" s="66" t="s">
        <v>82</v>
      </c>
      <c r="D15" s="66" t="s">
        <v>82</v>
      </c>
      <c r="E15" s="67">
        <f t="shared" si="0"/>
        <v>0</v>
      </c>
      <c r="F15" s="78" t="str">
        <f t="shared" si="1"/>
        <v>-</v>
      </c>
      <c r="G15" s="78" t="str">
        <f t="shared" si="1"/>
        <v>-</v>
      </c>
      <c r="H15" s="78" t="str">
        <f t="shared" si="1"/>
        <v>-</v>
      </c>
      <c r="I15" s="77">
        <v>1111</v>
      </c>
      <c r="J15" s="79">
        <f t="shared" si="2"/>
        <v>-1</v>
      </c>
    </row>
    <row r="16" spans="1:10" x14ac:dyDescent="0.4">
      <c r="A16" s="68" t="s">
        <v>21</v>
      </c>
      <c r="B16" s="69">
        <f>SUM(B4:B15)</f>
        <v>0</v>
      </c>
      <c r="C16" s="69">
        <f t="shared" ref="C16:E16" si="3">SUM(C4:C15)</f>
        <v>0</v>
      </c>
      <c r="D16" s="69">
        <f t="shared" si="3"/>
        <v>0</v>
      </c>
      <c r="E16" s="69">
        <f t="shared" si="3"/>
        <v>0</v>
      </c>
      <c r="F16" s="85"/>
      <c r="G16" s="85"/>
      <c r="H16" s="80"/>
      <c r="I16" s="80">
        <f>SUM(I4:I15)</f>
        <v>8888</v>
      </c>
      <c r="J16" s="80"/>
    </row>
    <row r="18" spans="2:4" x14ac:dyDescent="0.4">
      <c r="B18" s="63"/>
      <c r="D18" s="63"/>
    </row>
  </sheetData>
  <mergeCells count="7">
    <mergeCell ref="A1:H1"/>
    <mergeCell ref="I1:J1"/>
    <mergeCell ref="A2:A3"/>
    <mergeCell ref="B2:E2"/>
    <mergeCell ref="I2:I3"/>
    <mergeCell ref="J2:J3"/>
    <mergeCell ref="F2:H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opLeftCell="A9" zoomScaleNormal="100" workbookViewId="0">
      <selection activeCell="B4" sqref="B4:D6"/>
    </sheetView>
  </sheetViews>
  <sheetFormatPr defaultColWidth="8.8984375" defaultRowHeight="17.399999999999999" x14ac:dyDescent="0.4"/>
  <cols>
    <col min="3" max="3" width="8.8984375" style="63"/>
    <col min="8" max="8" width="8.8984375" customWidth="1"/>
    <col min="9" max="10" width="12.8984375" customWidth="1"/>
  </cols>
  <sheetData>
    <row r="1" spans="1:10" x14ac:dyDescent="0.4">
      <c r="A1" s="88" t="s">
        <v>81</v>
      </c>
      <c r="B1" s="88"/>
      <c r="C1" s="88"/>
      <c r="D1" s="88"/>
      <c r="E1" s="88"/>
      <c r="F1" s="89"/>
      <c r="G1" s="89"/>
      <c r="H1" s="89"/>
      <c r="I1" s="88" t="s">
        <v>0</v>
      </c>
      <c r="J1" s="90"/>
    </row>
    <row r="2" spans="1:10" ht="24" customHeight="1" x14ac:dyDescent="0.4">
      <c r="A2" s="91"/>
      <c r="B2" s="93" t="s">
        <v>80</v>
      </c>
      <c r="C2" s="94"/>
      <c r="D2" s="94"/>
      <c r="E2" s="94"/>
      <c r="F2" s="97" t="s">
        <v>2</v>
      </c>
      <c r="G2" s="97"/>
      <c r="H2" s="97"/>
      <c r="I2" s="95" t="s">
        <v>3</v>
      </c>
      <c r="J2" s="96" t="s">
        <v>4</v>
      </c>
    </row>
    <row r="3" spans="1:10" x14ac:dyDescent="0.4">
      <c r="A3" s="92"/>
      <c r="B3" s="64" t="s">
        <v>5</v>
      </c>
      <c r="C3" s="71" t="s">
        <v>6</v>
      </c>
      <c r="D3" s="64" t="s">
        <v>7</v>
      </c>
      <c r="E3" s="64" t="s">
        <v>8</v>
      </c>
      <c r="F3" s="84" t="s">
        <v>5</v>
      </c>
      <c r="G3" s="86" t="s">
        <v>6</v>
      </c>
      <c r="H3" s="84" t="s">
        <v>7</v>
      </c>
      <c r="I3" s="96"/>
      <c r="J3" s="96"/>
    </row>
    <row r="4" spans="1:10" ht="25.35" customHeight="1" x14ac:dyDescent="0.4">
      <c r="A4" s="65" t="s">
        <v>9</v>
      </c>
      <c r="B4" s="66" t="s">
        <v>82</v>
      </c>
      <c r="C4" s="66" t="s">
        <v>82</v>
      </c>
      <c r="D4" s="66" t="s">
        <v>82</v>
      </c>
      <c r="E4" s="67">
        <f t="shared" ref="E4:E15" si="0">SUM(B4:D4)</f>
        <v>0</v>
      </c>
      <c r="F4" s="78" t="str">
        <f>IFERROR(B4/16732-1,"-")</f>
        <v>-</v>
      </c>
      <c r="G4" s="78" t="str">
        <f>IFERROR(C4/1502-1,"-")</f>
        <v>-</v>
      </c>
      <c r="H4" s="78" t="str">
        <f>IFERROR(D4/417-1,"-")</f>
        <v>-</v>
      </c>
      <c r="I4" s="77">
        <v>0</v>
      </c>
      <c r="J4" s="79" t="e">
        <f>(E4-I4)/I4</f>
        <v>#DIV/0!</v>
      </c>
    </row>
    <row r="5" spans="1:10" ht="25.35" customHeight="1" x14ac:dyDescent="0.4">
      <c r="A5" s="65" t="s">
        <v>10</v>
      </c>
      <c r="B5" s="66" t="s">
        <v>82</v>
      </c>
      <c r="C5" s="66" t="s">
        <v>82</v>
      </c>
      <c r="D5" s="66" t="s">
        <v>82</v>
      </c>
      <c r="E5" s="67">
        <f t="shared" si="0"/>
        <v>0</v>
      </c>
      <c r="F5" s="78" t="str">
        <f t="shared" ref="F5:F15" si="1">IFERROR(B5/B4-1,"-")</f>
        <v>-</v>
      </c>
      <c r="G5" s="78" t="str">
        <f t="shared" ref="G5:G15" si="2">IFERROR(C5/C4-1,"-")</f>
        <v>-</v>
      </c>
      <c r="H5" s="78" t="str">
        <f t="shared" ref="H5:H15" si="3">IFERROR(D5/D4-1,"-")</f>
        <v>-</v>
      </c>
      <c r="I5" s="77">
        <v>0</v>
      </c>
      <c r="J5" s="79" t="e">
        <f t="shared" ref="J5:J15" si="4">(E5-I5)/I5</f>
        <v>#DIV/0!</v>
      </c>
    </row>
    <row r="6" spans="1:10" ht="25.35" customHeight="1" x14ac:dyDescent="0.4">
      <c r="A6" s="65" t="s">
        <v>11</v>
      </c>
      <c r="B6" s="66" t="s">
        <v>82</v>
      </c>
      <c r="C6" s="66" t="s">
        <v>82</v>
      </c>
      <c r="D6" s="66" t="s">
        <v>82</v>
      </c>
      <c r="E6" s="67">
        <f t="shared" si="0"/>
        <v>0</v>
      </c>
      <c r="F6" s="78" t="str">
        <f t="shared" si="1"/>
        <v>-</v>
      </c>
      <c r="G6" s="78" t="str">
        <f t="shared" si="2"/>
        <v>-</v>
      </c>
      <c r="H6" s="78" t="str">
        <f t="shared" si="3"/>
        <v>-</v>
      </c>
      <c r="I6" s="77">
        <v>0</v>
      </c>
      <c r="J6" s="79" t="e">
        <f t="shared" si="4"/>
        <v>#DIV/0!</v>
      </c>
    </row>
    <row r="7" spans="1:10" ht="25.35" customHeight="1" x14ac:dyDescent="0.4">
      <c r="A7" s="65" t="s">
        <v>12</v>
      </c>
      <c r="B7" s="66" t="s">
        <v>82</v>
      </c>
      <c r="C7" s="66" t="s">
        <v>82</v>
      </c>
      <c r="D7" s="66" t="s">
        <v>82</v>
      </c>
      <c r="E7" s="67">
        <f t="shared" si="0"/>
        <v>0</v>
      </c>
      <c r="F7" s="78" t="str">
        <f t="shared" si="1"/>
        <v>-</v>
      </c>
      <c r="G7" s="78" t="str">
        <f t="shared" si="2"/>
        <v>-</v>
      </c>
      <c r="H7" s="78" t="str">
        <f t="shared" si="3"/>
        <v>-</v>
      </c>
      <c r="I7" s="77">
        <v>0</v>
      </c>
      <c r="J7" s="79" t="e">
        <f t="shared" si="4"/>
        <v>#DIV/0!</v>
      </c>
    </row>
    <row r="8" spans="1:10" ht="25.35" customHeight="1" x14ac:dyDescent="0.4">
      <c r="A8" s="65" t="s">
        <v>13</v>
      </c>
      <c r="B8" s="66" t="s">
        <v>82</v>
      </c>
      <c r="C8" s="66" t="s">
        <v>82</v>
      </c>
      <c r="D8" s="66" t="s">
        <v>82</v>
      </c>
      <c r="E8" s="67">
        <f t="shared" si="0"/>
        <v>0</v>
      </c>
      <c r="F8" s="78" t="str">
        <f t="shared" si="1"/>
        <v>-</v>
      </c>
      <c r="G8" s="78" t="str">
        <f t="shared" si="2"/>
        <v>-</v>
      </c>
      <c r="H8" s="78" t="str">
        <f t="shared" si="3"/>
        <v>-</v>
      </c>
      <c r="I8" s="77">
        <v>1111</v>
      </c>
      <c r="J8" s="79">
        <f t="shared" si="4"/>
        <v>-1</v>
      </c>
    </row>
    <row r="9" spans="1:10" ht="25.35" customHeight="1" x14ac:dyDescent="0.4">
      <c r="A9" s="65" t="s">
        <v>14</v>
      </c>
      <c r="B9" s="66" t="s">
        <v>82</v>
      </c>
      <c r="C9" s="66" t="s">
        <v>82</v>
      </c>
      <c r="D9" s="66" t="s">
        <v>82</v>
      </c>
      <c r="E9" s="67">
        <f t="shared" si="0"/>
        <v>0</v>
      </c>
      <c r="F9" s="78" t="str">
        <f t="shared" si="1"/>
        <v>-</v>
      </c>
      <c r="G9" s="78" t="str">
        <f t="shared" si="2"/>
        <v>-</v>
      </c>
      <c r="H9" s="78" t="str">
        <f t="shared" si="3"/>
        <v>-</v>
      </c>
      <c r="I9" s="77">
        <v>1111</v>
      </c>
      <c r="J9" s="79">
        <f t="shared" si="4"/>
        <v>-1</v>
      </c>
    </row>
    <row r="10" spans="1:10" ht="25.35" customHeight="1" x14ac:dyDescent="0.4">
      <c r="A10" s="65" t="s">
        <v>15</v>
      </c>
      <c r="B10" s="66" t="s">
        <v>82</v>
      </c>
      <c r="C10" s="66" t="s">
        <v>82</v>
      </c>
      <c r="D10" s="66" t="s">
        <v>82</v>
      </c>
      <c r="E10" s="67">
        <f t="shared" si="0"/>
        <v>0</v>
      </c>
      <c r="F10" s="78" t="str">
        <f t="shared" si="1"/>
        <v>-</v>
      </c>
      <c r="G10" s="78" t="str">
        <f t="shared" si="2"/>
        <v>-</v>
      </c>
      <c r="H10" s="78" t="str">
        <f t="shared" si="3"/>
        <v>-</v>
      </c>
      <c r="I10" s="77">
        <v>1111</v>
      </c>
      <c r="J10" s="79">
        <f t="shared" si="4"/>
        <v>-1</v>
      </c>
    </row>
    <row r="11" spans="1:10" ht="25.35" customHeight="1" x14ac:dyDescent="0.4">
      <c r="A11" s="65" t="s">
        <v>16</v>
      </c>
      <c r="B11" s="66" t="s">
        <v>82</v>
      </c>
      <c r="C11" s="66" t="s">
        <v>82</v>
      </c>
      <c r="D11" s="66" t="s">
        <v>82</v>
      </c>
      <c r="E11" s="67">
        <f t="shared" si="0"/>
        <v>0</v>
      </c>
      <c r="F11" s="78" t="str">
        <f t="shared" si="1"/>
        <v>-</v>
      </c>
      <c r="G11" s="78" t="str">
        <f t="shared" si="2"/>
        <v>-</v>
      </c>
      <c r="H11" s="78" t="str">
        <f t="shared" si="3"/>
        <v>-</v>
      </c>
      <c r="I11" s="77">
        <v>1111</v>
      </c>
      <c r="J11" s="79">
        <f t="shared" si="4"/>
        <v>-1</v>
      </c>
    </row>
    <row r="12" spans="1:10" ht="25.35" customHeight="1" x14ac:dyDescent="0.4">
      <c r="A12" s="65" t="s">
        <v>17</v>
      </c>
      <c r="B12" s="66" t="s">
        <v>82</v>
      </c>
      <c r="C12" s="66" t="s">
        <v>82</v>
      </c>
      <c r="D12" s="66" t="s">
        <v>82</v>
      </c>
      <c r="E12" s="67">
        <f t="shared" si="0"/>
        <v>0</v>
      </c>
      <c r="F12" s="78" t="str">
        <f t="shared" si="1"/>
        <v>-</v>
      </c>
      <c r="G12" s="78" t="str">
        <f t="shared" si="2"/>
        <v>-</v>
      </c>
      <c r="H12" s="78" t="str">
        <f t="shared" si="3"/>
        <v>-</v>
      </c>
      <c r="I12" s="77">
        <v>1111</v>
      </c>
      <c r="J12" s="79">
        <f t="shared" si="4"/>
        <v>-1</v>
      </c>
    </row>
    <row r="13" spans="1:10" ht="25.35" customHeight="1" x14ac:dyDescent="0.4">
      <c r="A13" s="65" t="s">
        <v>18</v>
      </c>
      <c r="B13" s="66" t="s">
        <v>82</v>
      </c>
      <c r="C13" s="66" t="s">
        <v>82</v>
      </c>
      <c r="D13" s="66" t="s">
        <v>82</v>
      </c>
      <c r="E13" s="67">
        <f t="shared" si="0"/>
        <v>0</v>
      </c>
      <c r="F13" s="78" t="str">
        <f t="shared" si="1"/>
        <v>-</v>
      </c>
      <c r="G13" s="78" t="str">
        <f t="shared" si="2"/>
        <v>-</v>
      </c>
      <c r="H13" s="78" t="str">
        <f t="shared" si="3"/>
        <v>-</v>
      </c>
      <c r="I13" s="77">
        <v>1111</v>
      </c>
      <c r="J13" s="79">
        <f t="shared" si="4"/>
        <v>-1</v>
      </c>
    </row>
    <row r="14" spans="1:10" ht="25.35" customHeight="1" x14ac:dyDescent="0.4">
      <c r="A14" s="65" t="s">
        <v>19</v>
      </c>
      <c r="B14" s="66" t="s">
        <v>82</v>
      </c>
      <c r="C14" s="66" t="s">
        <v>82</v>
      </c>
      <c r="D14" s="66" t="s">
        <v>82</v>
      </c>
      <c r="E14" s="67">
        <f t="shared" si="0"/>
        <v>0</v>
      </c>
      <c r="F14" s="78" t="str">
        <f t="shared" si="1"/>
        <v>-</v>
      </c>
      <c r="G14" s="78" t="str">
        <f t="shared" si="2"/>
        <v>-</v>
      </c>
      <c r="H14" s="78" t="str">
        <f t="shared" si="3"/>
        <v>-</v>
      </c>
      <c r="I14" s="77">
        <v>1111</v>
      </c>
      <c r="J14" s="79">
        <f t="shared" si="4"/>
        <v>-1</v>
      </c>
    </row>
    <row r="15" spans="1:10" ht="25.35" customHeight="1" x14ac:dyDescent="0.4">
      <c r="A15" s="65" t="s">
        <v>20</v>
      </c>
      <c r="B15" s="66" t="s">
        <v>82</v>
      </c>
      <c r="C15" s="66" t="s">
        <v>82</v>
      </c>
      <c r="D15" s="66" t="s">
        <v>82</v>
      </c>
      <c r="E15" s="67">
        <f t="shared" si="0"/>
        <v>0</v>
      </c>
      <c r="F15" s="78" t="str">
        <f t="shared" si="1"/>
        <v>-</v>
      </c>
      <c r="G15" s="78" t="str">
        <f t="shared" si="2"/>
        <v>-</v>
      </c>
      <c r="H15" s="78" t="str">
        <f t="shared" si="3"/>
        <v>-</v>
      </c>
      <c r="I15" s="77">
        <v>1111</v>
      </c>
      <c r="J15" s="79">
        <f t="shared" si="4"/>
        <v>-1</v>
      </c>
    </row>
    <row r="16" spans="1:10" x14ac:dyDescent="0.4">
      <c r="A16" s="68" t="s">
        <v>21</v>
      </c>
      <c r="B16" s="69">
        <f>SUM(B4:B15)</f>
        <v>0</v>
      </c>
      <c r="C16" s="69">
        <f>SUM(C4:C15)</f>
        <v>0</v>
      </c>
      <c r="D16" s="69">
        <f>SUM(D4:D15)</f>
        <v>0</v>
      </c>
      <c r="E16" s="69">
        <f>SUM(E4:E15)</f>
        <v>0</v>
      </c>
      <c r="F16" s="85"/>
      <c r="G16" s="85"/>
      <c r="H16" s="80"/>
      <c r="I16" s="80">
        <f>SUM(I4:I15)</f>
        <v>8888</v>
      </c>
      <c r="J16" s="80"/>
    </row>
    <row r="18" spans="2:4" x14ac:dyDescent="0.4">
      <c r="B18" s="63"/>
      <c r="D18" s="63"/>
    </row>
  </sheetData>
  <mergeCells count="7">
    <mergeCell ref="A1:H1"/>
    <mergeCell ref="I1:J1"/>
    <mergeCell ref="I2:I3"/>
    <mergeCell ref="J2:J3"/>
    <mergeCell ref="A2:A3"/>
    <mergeCell ref="B2:E2"/>
    <mergeCell ref="F2:H2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E7B9-834C-43F7-B450-7F413363FE2E}">
  <dimension ref="A1:H18"/>
  <sheetViews>
    <sheetView zoomScaleNormal="100" workbookViewId="0">
      <selection activeCell="B4" sqref="B4:D6"/>
    </sheetView>
  </sheetViews>
  <sheetFormatPr defaultColWidth="8.8984375" defaultRowHeight="17.399999999999999" x14ac:dyDescent="0.4"/>
  <cols>
    <col min="3" max="3" width="8.8984375" style="63"/>
    <col min="6" max="6" width="15.59765625" bestFit="1" customWidth="1"/>
    <col min="7" max="8" width="12.8984375" customWidth="1"/>
  </cols>
  <sheetData>
    <row r="1" spans="1:8" x14ac:dyDescent="0.4">
      <c r="A1" s="88" t="s">
        <v>81</v>
      </c>
      <c r="B1" s="88"/>
      <c r="C1" s="88"/>
      <c r="D1" s="88"/>
      <c r="E1" s="88"/>
      <c r="F1" s="89"/>
      <c r="G1" s="88" t="s">
        <v>0</v>
      </c>
      <c r="H1" s="90"/>
    </row>
    <row r="2" spans="1:8" ht="24" customHeight="1" x14ac:dyDescent="0.4">
      <c r="A2" s="91"/>
      <c r="B2" s="93" t="s">
        <v>1</v>
      </c>
      <c r="C2" s="94"/>
      <c r="D2" s="94"/>
      <c r="E2" s="98"/>
      <c r="F2" s="99" t="s">
        <v>2</v>
      </c>
      <c r="G2" s="96" t="s">
        <v>3</v>
      </c>
      <c r="H2" s="96" t="s">
        <v>4</v>
      </c>
    </row>
    <row r="3" spans="1:8" x14ac:dyDescent="0.4">
      <c r="A3" s="92"/>
      <c r="B3" s="64" t="s">
        <v>5</v>
      </c>
      <c r="C3" s="71" t="s">
        <v>6</v>
      </c>
      <c r="D3" s="64" t="s">
        <v>7</v>
      </c>
      <c r="E3" s="64" t="s">
        <v>8</v>
      </c>
      <c r="F3" s="100"/>
      <c r="G3" s="96"/>
      <c r="H3" s="96"/>
    </row>
    <row r="4" spans="1:8" ht="25.35" customHeight="1" x14ac:dyDescent="0.4">
      <c r="A4" s="65" t="s">
        <v>9</v>
      </c>
      <c r="B4" s="66" t="s">
        <v>82</v>
      </c>
      <c r="C4" s="66" t="s">
        <v>82</v>
      </c>
      <c r="D4" s="66" t="s">
        <v>82</v>
      </c>
      <c r="E4" s="67">
        <f t="shared" ref="E4:E15" si="0">SUM(B4:D4)</f>
        <v>0</v>
      </c>
      <c r="F4" s="78">
        <f>IFERROR(E4/10014-1,"-")</f>
        <v>-1</v>
      </c>
      <c r="G4" s="67">
        <v>0</v>
      </c>
      <c r="H4" s="79" t="e">
        <f>(E4-G4)/G4</f>
        <v>#DIV/0!</v>
      </c>
    </row>
    <row r="5" spans="1:8" ht="25.35" customHeight="1" x14ac:dyDescent="0.4">
      <c r="A5" s="65" t="s">
        <v>10</v>
      </c>
      <c r="B5" s="66" t="s">
        <v>82</v>
      </c>
      <c r="C5" s="66" t="s">
        <v>82</v>
      </c>
      <c r="D5" s="66" t="s">
        <v>82</v>
      </c>
      <c r="E5" s="67">
        <f t="shared" si="0"/>
        <v>0</v>
      </c>
      <c r="F5" s="78" t="str">
        <f>IFERROR(E5/E4-1,"-")</f>
        <v>-</v>
      </c>
      <c r="G5" s="67">
        <v>0</v>
      </c>
      <c r="H5" s="79" t="e">
        <f t="shared" ref="H5:H15" si="1">(E5-G5)/G5</f>
        <v>#DIV/0!</v>
      </c>
    </row>
    <row r="6" spans="1:8" ht="25.35" customHeight="1" x14ac:dyDescent="0.4">
      <c r="A6" s="65" t="s">
        <v>11</v>
      </c>
      <c r="B6" s="66" t="s">
        <v>82</v>
      </c>
      <c r="C6" s="66" t="s">
        <v>82</v>
      </c>
      <c r="D6" s="66" t="s">
        <v>82</v>
      </c>
      <c r="E6" s="67">
        <f t="shared" si="0"/>
        <v>0</v>
      </c>
      <c r="F6" s="78" t="str">
        <f t="shared" ref="F6:F15" si="2">IFERROR(E6/E5-1,"-")</f>
        <v>-</v>
      </c>
      <c r="G6" s="67">
        <v>0</v>
      </c>
      <c r="H6" s="79" t="e">
        <f t="shared" si="1"/>
        <v>#DIV/0!</v>
      </c>
    </row>
    <row r="7" spans="1:8" ht="25.35" customHeight="1" x14ac:dyDescent="0.4">
      <c r="A7" s="65" t="s">
        <v>12</v>
      </c>
      <c r="B7" s="66" t="s">
        <v>82</v>
      </c>
      <c r="C7" s="66" t="s">
        <v>82</v>
      </c>
      <c r="D7" s="66" t="s">
        <v>82</v>
      </c>
      <c r="E7" s="67">
        <f t="shared" si="0"/>
        <v>0</v>
      </c>
      <c r="F7" s="78" t="str">
        <f t="shared" si="2"/>
        <v>-</v>
      </c>
      <c r="G7" s="67">
        <v>0</v>
      </c>
      <c r="H7" s="79" t="e">
        <f t="shared" si="1"/>
        <v>#DIV/0!</v>
      </c>
    </row>
    <row r="8" spans="1:8" ht="25.35" customHeight="1" x14ac:dyDescent="0.4">
      <c r="A8" s="65" t="s">
        <v>13</v>
      </c>
      <c r="B8" s="66" t="s">
        <v>82</v>
      </c>
      <c r="C8" s="66" t="s">
        <v>82</v>
      </c>
      <c r="D8" s="66" t="s">
        <v>82</v>
      </c>
      <c r="E8" s="67">
        <f t="shared" si="0"/>
        <v>0</v>
      </c>
      <c r="F8" s="78" t="str">
        <f t="shared" si="2"/>
        <v>-</v>
      </c>
      <c r="G8" s="67">
        <v>1111</v>
      </c>
      <c r="H8" s="79">
        <f t="shared" si="1"/>
        <v>-1</v>
      </c>
    </row>
    <row r="9" spans="1:8" ht="25.35" customHeight="1" x14ac:dyDescent="0.4">
      <c r="A9" s="65" t="s">
        <v>14</v>
      </c>
      <c r="B9" s="66" t="s">
        <v>82</v>
      </c>
      <c r="C9" s="66" t="s">
        <v>82</v>
      </c>
      <c r="D9" s="66" t="s">
        <v>82</v>
      </c>
      <c r="E9" s="67">
        <f t="shared" si="0"/>
        <v>0</v>
      </c>
      <c r="F9" s="78" t="str">
        <f t="shared" si="2"/>
        <v>-</v>
      </c>
      <c r="G9" s="67">
        <v>1111</v>
      </c>
      <c r="H9" s="79">
        <f t="shared" si="1"/>
        <v>-1</v>
      </c>
    </row>
    <row r="10" spans="1:8" ht="25.35" customHeight="1" x14ac:dyDescent="0.4">
      <c r="A10" s="65" t="s">
        <v>15</v>
      </c>
      <c r="B10" s="66" t="s">
        <v>82</v>
      </c>
      <c r="C10" s="66" t="s">
        <v>82</v>
      </c>
      <c r="D10" s="66" t="s">
        <v>82</v>
      </c>
      <c r="E10" s="67">
        <f t="shared" si="0"/>
        <v>0</v>
      </c>
      <c r="F10" s="78" t="str">
        <f t="shared" si="2"/>
        <v>-</v>
      </c>
      <c r="G10" s="67">
        <v>1111</v>
      </c>
      <c r="H10" s="79">
        <f t="shared" si="1"/>
        <v>-1</v>
      </c>
    </row>
    <row r="11" spans="1:8" ht="25.35" customHeight="1" x14ac:dyDescent="0.4">
      <c r="A11" s="65" t="s">
        <v>16</v>
      </c>
      <c r="B11" s="66" t="s">
        <v>82</v>
      </c>
      <c r="C11" s="66" t="s">
        <v>82</v>
      </c>
      <c r="D11" s="66" t="s">
        <v>82</v>
      </c>
      <c r="E11" s="67">
        <f t="shared" si="0"/>
        <v>0</v>
      </c>
      <c r="F11" s="78" t="str">
        <f t="shared" si="2"/>
        <v>-</v>
      </c>
      <c r="G11" s="67">
        <v>1111</v>
      </c>
      <c r="H11" s="79">
        <f t="shared" si="1"/>
        <v>-1</v>
      </c>
    </row>
    <row r="12" spans="1:8" ht="25.35" customHeight="1" x14ac:dyDescent="0.4">
      <c r="A12" s="65" t="s">
        <v>17</v>
      </c>
      <c r="B12" s="66" t="s">
        <v>82</v>
      </c>
      <c r="C12" s="66" t="s">
        <v>82</v>
      </c>
      <c r="D12" s="66" t="s">
        <v>82</v>
      </c>
      <c r="E12" s="67">
        <f t="shared" si="0"/>
        <v>0</v>
      </c>
      <c r="F12" s="78" t="str">
        <f t="shared" si="2"/>
        <v>-</v>
      </c>
      <c r="G12" s="67">
        <v>1111</v>
      </c>
      <c r="H12" s="79">
        <f t="shared" si="1"/>
        <v>-1</v>
      </c>
    </row>
    <row r="13" spans="1:8" ht="25.35" customHeight="1" x14ac:dyDescent="0.4">
      <c r="A13" s="65" t="s">
        <v>18</v>
      </c>
      <c r="B13" s="66" t="s">
        <v>82</v>
      </c>
      <c r="C13" s="66" t="s">
        <v>82</v>
      </c>
      <c r="D13" s="66" t="s">
        <v>82</v>
      </c>
      <c r="E13" s="67">
        <f t="shared" si="0"/>
        <v>0</v>
      </c>
      <c r="F13" s="78" t="str">
        <f t="shared" si="2"/>
        <v>-</v>
      </c>
      <c r="G13" s="67">
        <v>1111</v>
      </c>
      <c r="H13" s="79">
        <f t="shared" si="1"/>
        <v>-1</v>
      </c>
    </row>
    <row r="14" spans="1:8" ht="25.35" customHeight="1" x14ac:dyDescent="0.4">
      <c r="A14" s="65" t="s">
        <v>19</v>
      </c>
      <c r="B14" s="66" t="s">
        <v>82</v>
      </c>
      <c r="C14" s="66" t="s">
        <v>82</v>
      </c>
      <c r="D14" s="66" t="s">
        <v>82</v>
      </c>
      <c r="E14" s="67">
        <f t="shared" si="0"/>
        <v>0</v>
      </c>
      <c r="F14" s="78" t="str">
        <f t="shared" si="2"/>
        <v>-</v>
      </c>
      <c r="G14" s="67">
        <v>1111</v>
      </c>
      <c r="H14" s="79">
        <f t="shared" si="1"/>
        <v>-1</v>
      </c>
    </row>
    <row r="15" spans="1:8" ht="25.35" customHeight="1" x14ac:dyDescent="0.4">
      <c r="A15" s="65" t="s">
        <v>20</v>
      </c>
      <c r="B15" s="66" t="s">
        <v>82</v>
      </c>
      <c r="C15" s="66" t="s">
        <v>82</v>
      </c>
      <c r="D15" s="66" t="s">
        <v>82</v>
      </c>
      <c r="E15" s="67">
        <f t="shared" si="0"/>
        <v>0</v>
      </c>
      <c r="F15" s="78" t="str">
        <f t="shared" si="2"/>
        <v>-</v>
      </c>
      <c r="G15" s="67">
        <v>1111</v>
      </c>
      <c r="H15" s="79">
        <f t="shared" si="1"/>
        <v>-1</v>
      </c>
    </row>
    <row r="16" spans="1:8" x14ac:dyDescent="0.4">
      <c r="A16" s="68" t="s">
        <v>21</v>
      </c>
      <c r="B16" s="69">
        <f>SUM(B4:B15)</f>
        <v>0</v>
      </c>
      <c r="C16" s="69">
        <f t="shared" ref="C16:E16" si="3">SUM(C4:C15)</f>
        <v>0</v>
      </c>
      <c r="D16" s="69">
        <f t="shared" si="3"/>
        <v>0</v>
      </c>
      <c r="E16" s="69">
        <f t="shared" si="3"/>
        <v>0</v>
      </c>
      <c r="F16" s="80"/>
      <c r="G16" s="80">
        <f>SUM(G4:G15)</f>
        <v>8888</v>
      </c>
      <c r="H16" s="80"/>
    </row>
    <row r="18" spans="2:4" x14ac:dyDescent="0.4">
      <c r="B18" s="63"/>
      <c r="D18" s="63"/>
    </row>
  </sheetData>
  <mergeCells count="7">
    <mergeCell ref="A1:F1"/>
    <mergeCell ref="G1:H1"/>
    <mergeCell ref="A2:A3"/>
    <mergeCell ref="B2:E2"/>
    <mergeCell ref="F2:F3"/>
    <mergeCell ref="G2:G3"/>
    <mergeCell ref="H2:H3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7E45-C07E-48F7-8282-E35DF5899BD8}">
  <dimension ref="A1:G32"/>
  <sheetViews>
    <sheetView topLeftCell="A7" zoomScaleNormal="100" workbookViewId="0">
      <selection activeCell="F2" sqref="F2:F10"/>
    </sheetView>
  </sheetViews>
  <sheetFormatPr defaultColWidth="9" defaultRowHeight="17.399999999999999" x14ac:dyDescent="0.4"/>
  <cols>
    <col min="1" max="1" width="32.09765625" style="70" bestFit="1" customWidth="1"/>
    <col min="2" max="2" width="9" style="82"/>
    <col min="3" max="3" width="37.59765625" style="70" bestFit="1" customWidth="1"/>
    <col min="4" max="4" width="9" style="70"/>
    <col min="5" max="5" width="39" style="70" bestFit="1" customWidth="1"/>
    <col min="6" max="6" width="9" style="70"/>
    <col min="7" max="7" width="42.69921875" style="70" bestFit="1" customWidth="1"/>
    <col min="8" max="8" width="9" style="70"/>
    <col min="9" max="9" width="11.5" style="70" bestFit="1" customWidth="1"/>
    <col min="10" max="16384" width="9" style="70"/>
  </cols>
  <sheetData>
    <row r="1" spans="1:7" x14ac:dyDescent="0.4">
      <c r="A1" s="73" t="s">
        <v>23</v>
      </c>
      <c r="B1" s="101" t="s">
        <v>24</v>
      </c>
      <c r="C1" s="102"/>
      <c r="D1" s="101" t="s">
        <v>25</v>
      </c>
      <c r="E1" s="102"/>
      <c r="F1" s="101" t="s">
        <v>26</v>
      </c>
      <c r="G1" s="102"/>
    </row>
    <row r="2" spans="1:7" x14ac:dyDescent="0.4">
      <c r="A2" s="72" t="s">
        <v>27</v>
      </c>
      <c r="B2" s="87">
        <v>0</v>
      </c>
      <c r="C2" s="83" t="e">
        <f>B2/$B$11</f>
        <v>#DIV/0!</v>
      </c>
      <c r="D2" s="87">
        <v>0</v>
      </c>
      <c r="E2" s="83" t="e">
        <f>D2/$D$11</f>
        <v>#DIV/0!</v>
      </c>
      <c r="F2" s="87">
        <v>0</v>
      </c>
      <c r="G2" s="83" t="e">
        <f>F2/$F$11</f>
        <v>#DIV/0!</v>
      </c>
    </row>
    <row r="3" spans="1:7" x14ac:dyDescent="0.4">
      <c r="A3" s="72" t="s">
        <v>28</v>
      </c>
      <c r="B3" s="87">
        <v>0</v>
      </c>
      <c r="C3" s="83" t="e">
        <f>B3/$B$11</f>
        <v>#DIV/0!</v>
      </c>
      <c r="D3" s="87">
        <v>0</v>
      </c>
      <c r="E3" s="83" t="e">
        <f t="shared" ref="E3:E8" si="0">D3/$D$11</f>
        <v>#DIV/0!</v>
      </c>
      <c r="F3" s="87">
        <v>0</v>
      </c>
      <c r="G3" s="83" t="e">
        <f t="shared" ref="G3:G8" si="1">F3/$F$11</f>
        <v>#DIV/0!</v>
      </c>
    </row>
    <row r="4" spans="1:7" x14ac:dyDescent="0.4">
      <c r="A4" s="72" t="s">
        <v>29</v>
      </c>
      <c r="B4" s="87">
        <v>0</v>
      </c>
      <c r="C4" s="83" t="e">
        <f>B4/$B$11</f>
        <v>#DIV/0!</v>
      </c>
      <c r="D4" s="87">
        <v>0</v>
      </c>
      <c r="E4" s="83" t="e">
        <f t="shared" si="0"/>
        <v>#DIV/0!</v>
      </c>
      <c r="F4" s="87">
        <v>0</v>
      </c>
      <c r="G4" s="83" t="e">
        <f t="shared" si="1"/>
        <v>#DIV/0!</v>
      </c>
    </row>
    <row r="5" spans="1:7" x14ac:dyDescent="0.4">
      <c r="A5" s="72" t="s">
        <v>30</v>
      </c>
      <c r="B5" s="87">
        <v>0</v>
      </c>
      <c r="C5" s="83" t="e">
        <f>B5/$B$11</f>
        <v>#DIV/0!</v>
      </c>
      <c r="D5" s="87">
        <v>0</v>
      </c>
      <c r="E5" s="83" t="e">
        <f t="shared" si="0"/>
        <v>#DIV/0!</v>
      </c>
      <c r="F5" s="87">
        <v>0</v>
      </c>
      <c r="G5" s="83" t="e">
        <f t="shared" si="1"/>
        <v>#DIV/0!</v>
      </c>
    </row>
    <row r="6" spans="1:7" x14ac:dyDescent="0.4">
      <c r="A6" s="72" t="s">
        <v>31</v>
      </c>
      <c r="B6" s="87">
        <v>0</v>
      </c>
      <c r="C6" s="83" t="e">
        <f t="shared" ref="C6:C9" si="2">B6/$B$11</f>
        <v>#DIV/0!</v>
      </c>
      <c r="D6" s="87">
        <v>0</v>
      </c>
      <c r="E6" s="83" t="e">
        <f t="shared" si="0"/>
        <v>#DIV/0!</v>
      </c>
      <c r="F6" s="87">
        <v>0</v>
      </c>
      <c r="G6" s="83" t="e">
        <f t="shared" si="1"/>
        <v>#DIV/0!</v>
      </c>
    </row>
    <row r="7" spans="1:7" x14ac:dyDescent="0.4">
      <c r="A7" s="72" t="s">
        <v>32</v>
      </c>
      <c r="B7" s="87">
        <v>0</v>
      </c>
      <c r="C7" s="83" t="e">
        <f t="shared" si="2"/>
        <v>#DIV/0!</v>
      </c>
      <c r="D7" s="87">
        <v>0</v>
      </c>
      <c r="E7" s="83" t="e">
        <f t="shared" si="0"/>
        <v>#DIV/0!</v>
      </c>
      <c r="F7" s="87">
        <v>0</v>
      </c>
      <c r="G7" s="83" t="e">
        <f t="shared" si="1"/>
        <v>#DIV/0!</v>
      </c>
    </row>
    <row r="8" spans="1:7" x14ac:dyDescent="0.4">
      <c r="A8" s="72" t="s">
        <v>33</v>
      </c>
      <c r="B8" s="87">
        <v>0</v>
      </c>
      <c r="C8" s="83" t="e">
        <f t="shared" si="2"/>
        <v>#DIV/0!</v>
      </c>
      <c r="D8" s="87">
        <v>0</v>
      </c>
      <c r="E8" s="83" t="e">
        <f t="shared" si="0"/>
        <v>#DIV/0!</v>
      </c>
      <c r="F8" s="87">
        <v>0</v>
      </c>
      <c r="G8" s="83" t="e">
        <f t="shared" si="1"/>
        <v>#DIV/0!</v>
      </c>
    </row>
    <row r="9" spans="1:7" x14ac:dyDescent="0.4">
      <c r="A9" s="72" t="s">
        <v>34</v>
      </c>
      <c r="B9" s="87">
        <v>0</v>
      </c>
      <c r="C9" s="83" t="e">
        <f t="shared" si="2"/>
        <v>#DIV/0!</v>
      </c>
      <c r="D9" s="87">
        <v>0</v>
      </c>
      <c r="E9" s="83" t="e">
        <f t="shared" ref="E9" si="3">D9/$D$11</f>
        <v>#DIV/0!</v>
      </c>
      <c r="F9" s="87">
        <v>0</v>
      </c>
      <c r="G9" s="83" t="e">
        <f t="shared" ref="G9" si="4">F9/$F$11</f>
        <v>#DIV/0!</v>
      </c>
    </row>
    <row r="10" spans="1:7" x14ac:dyDescent="0.4">
      <c r="A10" s="72" t="s">
        <v>35</v>
      </c>
      <c r="B10" s="87">
        <v>0</v>
      </c>
      <c r="C10" s="83" t="e">
        <f t="shared" ref="C10" si="5">B10/$B$11</f>
        <v>#DIV/0!</v>
      </c>
      <c r="D10" s="87">
        <v>0</v>
      </c>
      <c r="E10" s="83" t="e">
        <f t="shared" ref="E10" si="6">D10/$D$11</f>
        <v>#DIV/0!</v>
      </c>
      <c r="F10" s="87">
        <v>0</v>
      </c>
      <c r="G10" s="83" t="e">
        <f t="shared" ref="G10" si="7">F10/$F$11</f>
        <v>#DIV/0!</v>
      </c>
    </row>
    <row r="11" spans="1:7" ht="17.399999999999999" customHeight="1" thickBot="1" x14ac:dyDescent="0.45">
      <c r="A11" s="74" t="s">
        <v>36</v>
      </c>
      <c r="B11" s="81">
        <f>SUM(B2:B10)</f>
        <v>0</v>
      </c>
      <c r="C11" s="76" t="e">
        <f>SUM(C2:C9)</f>
        <v>#DIV/0!</v>
      </c>
      <c r="D11" s="81">
        <f>SUM(D2:D10)</f>
        <v>0</v>
      </c>
      <c r="E11" s="76" t="e">
        <f t="shared" ref="E11:G11" si="8">SUM(E2:E9)</f>
        <v>#DIV/0!</v>
      </c>
      <c r="F11" s="75">
        <f>SUM(F2:F10)</f>
        <v>0</v>
      </c>
      <c r="G11" s="76" t="e">
        <f t="shared" si="8"/>
        <v>#DIV/0!</v>
      </c>
    </row>
    <row r="14" spans="1:7" ht="16.5" customHeight="1" x14ac:dyDescent="0.4">
      <c r="B14" s="70"/>
    </row>
    <row r="15" spans="1:7" ht="16.5" customHeight="1" x14ac:dyDescent="0.4">
      <c r="B15" s="70"/>
    </row>
    <row r="16" spans="1:7" ht="16.5" customHeight="1" x14ac:dyDescent="0.4">
      <c r="B16" s="70"/>
    </row>
    <row r="17" spans="2:2" ht="16.5" customHeight="1" x14ac:dyDescent="0.4">
      <c r="B17" s="70"/>
    </row>
    <row r="18" spans="2:2" ht="16.5" customHeight="1" x14ac:dyDescent="0.4">
      <c r="B18" s="70"/>
    </row>
    <row r="19" spans="2:2" ht="16.5" customHeight="1" x14ac:dyDescent="0.4">
      <c r="B19" s="70"/>
    </row>
    <row r="20" spans="2:2" ht="16.5" customHeight="1" x14ac:dyDescent="0.4">
      <c r="B20" s="70"/>
    </row>
    <row r="21" spans="2:2" ht="16.5" customHeight="1" x14ac:dyDescent="0.4">
      <c r="B21" s="70"/>
    </row>
    <row r="22" spans="2:2" ht="16.5" customHeight="1" x14ac:dyDescent="0.4">
      <c r="B22" s="70"/>
    </row>
    <row r="23" spans="2:2" ht="16.5" customHeight="1" x14ac:dyDescent="0.4">
      <c r="B23" s="70"/>
    </row>
    <row r="24" spans="2:2" ht="16.5" customHeight="1" x14ac:dyDescent="0.4">
      <c r="B24" s="70"/>
    </row>
    <row r="25" spans="2:2" ht="16.5" customHeight="1" x14ac:dyDescent="0.4">
      <c r="B25" s="70"/>
    </row>
    <row r="26" spans="2:2" x14ac:dyDescent="0.4">
      <c r="B26" s="70"/>
    </row>
    <row r="27" spans="2:2" x14ac:dyDescent="0.4">
      <c r="B27" s="70"/>
    </row>
    <row r="28" spans="2:2" x14ac:dyDescent="0.4">
      <c r="B28" s="70"/>
    </row>
    <row r="29" spans="2:2" x14ac:dyDescent="0.4">
      <c r="B29" s="70"/>
    </row>
    <row r="30" spans="2:2" x14ac:dyDescent="0.4">
      <c r="B30" s="70"/>
    </row>
    <row r="31" spans="2:2" x14ac:dyDescent="0.4">
      <c r="B31" s="70"/>
    </row>
    <row r="32" spans="2:2" x14ac:dyDescent="0.4">
      <c r="B32" s="70"/>
    </row>
  </sheetData>
  <mergeCells count="3">
    <mergeCell ref="B1:C1"/>
    <mergeCell ref="D1:E1"/>
    <mergeCell ref="F1:G1"/>
  </mergeCells>
  <phoneticPr fontId="10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2"/>
  <sheetViews>
    <sheetView showGridLines="0" workbookViewId="0"/>
  </sheetViews>
  <sheetFormatPr defaultColWidth="8.8984375" defaultRowHeight="16.5" customHeight="1" x14ac:dyDescent="0.4"/>
  <cols>
    <col min="1" max="1" width="14.3984375" style="15" customWidth="1"/>
    <col min="2" max="17" width="8.8984375" style="15" customWidth="1"/>
    <col min="18" max="16384" width="8.8984375" style="15"/>
  </cols>
  <sheetData>
    <row r="1" spans="1:16" ht="16.5" customHeight="1" x14ac:dyDescent="0.4">
      <c r="A1" s="17" t="s">
        <v>37</v>
      </c>
      <c r="B1" s="18" t="s">
        <v>38</v>
      </c>
      <c r="C1" s="18" t="s">
        <v>39</v>
      </c>
      <c r="D1" s="18" t="s">
        <v>40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6.5" customHeight="1" x14ac:dyDescent="0.4">
      <c r="A2" s="19">
        <v>43891</v>
      </c>
      <c r="B2" s="20">
        <v>114.333</v>
      </c>
      <c r="C2" s="20">
        <v>0</v>
      </c>
      <c r="D2" s="20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6.5" customHeight="1" x14ac:dyDescent="0.4">
      <c r="A3" s="19">
        <v>43892</v>
      </c>
      <c r="B3" s="20">
        <v>60.852874999999997</v>
      </c>
      <c r="C3" s="20">
        <v>17.975000000000001</v>
      </c>
      <c r="D3" s="20">
        <v>148.33000000000001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6.5" customHeight="1" x14ac:dyDescent="0.4">
      <c r="A4" s="19">
        <v>43893</v>
      </c>
      <c r="B4" s="20">
        <v>14.8161515151515</v>
      </c>
      <c r="C4" s="20">
        <v>103.4426</v>
      </c>
      <c r="D4" s="20">
        <v>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ht="16.5" customHeight="1" x14ac:dyDescent="0.4">
      <c r="A5" s="19">
        <v>43894</v>
      </c>
      <c r="B5" s="20">
        <v>14.298999999999999</v>
      </c>
      <c r="C5" s="20">
        <v>36.960599999999999</v>
      </c>
      <c r="D5" s="20">
        <v>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6.5" customHeight="1" x14ac:dyDescent="0.4">
      <c r="A6" s="19">
        <v>43895</v>
      </c>
      <c r="B6" s="20">
        <v>267.113</v>
      </c>
      <c r="C6" s="20">
        <v>69.692750000000004</v>
      </c>
      <c r="D6" s="20">
        <v>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6.5" customHeight="1" x14ac:dyDescent="0.4">
      <c r="A7" s="19">
        <v>43896</v>
      </c>
      <c r="B7" s="20">
        <v>51.524000000000001</v>
      </c>
      <c r="C7" s="20">
        <v>58.816400000000002</v>
      </c>
      <c r="D7" s="20">
        <v>12.847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16.5" customHeight="1" x14ac:dyDescent="0.4">
      <c r="A8" s="19">
        <v>43897</v>
      </c>
      <c r="B8" s="20">
        <v>0.50676190476190497</v>
      </c>
      <c r="C8" s="20">
        <v>287.27999999999997</v>
      </c>
      <c r="D8" s="20">
        <v>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ht="16.5" customHeight="1" x14ac:dyDescent="0.4">
      <c r="A9" s="19">
        <v>43898</v>
      </c>
      <c r="B9" s="20">
        <v>5.0303333333333304</v>
      </c>
      <c r="C9" s="20">
        <v>91.498000000000005</v>
      </c>
      <c r="D9" s="20">
        <v>1.556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16.5" customHeight="1" x14ac:dyDescent="0.4">
      <c r="A10" s="19">
        <v>43899</v>
      </c>
      <c r="B10" s="20">
        <v>59.353124999999999</v>
      </c>
      <c r="C10" s="20">
        <v>12.987222222222201</v>
      </c>
      <c r="D10" s="20">
        <v>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6.5" customHeight="1" x14ac:dyDescent="0.4">
      <c r="A11" s="19">
        <v>43900</v>
      </c>
      <c r="B11" s="20">
        <v>1.9813750000000001</v>
      </c>
      <c r="C11" s="20">
        <v>10.558125</v>
      </c>
      <c r="D11" s="20">
        <v>1.9864999999999999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ht="16.5" customHeight="1" x14ac:dyDescent="0.4">
      <c r="A12" s="19">
        <v>43901</v>
      </c>
      <c r="B12" s="20">
        <v>31.9576666666667</v>
      </c>
      <c r="C12" s="20">
        <v>53.1875</v>
      </c>
      <c r="D12" s="20">
        <v>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16.5" customHeight="1" x14ac:dyDescent="0.4">
      <c r="A13" s="19">
        <v>43902</v>
      </c>
      <c r="B13" s="20">
        <v>83.950333333333305</v>
      </c>
      <c r="C13" s="20">
        <v>38.330125000000002</v>
      </c>
      <c r="D13" s="20">
        <v>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16.5" customHeight="1" x14ac:dyDescent="0.4">
      <c r="A14" s="19">
        <v>43903</v>
      </c>
      <c r="B14" s="20">
        <v>65.168888888888901</v>
      </c>
      <c r="C14" s="20">
        <v>20.092666666666702</v>
      </c>
      <c r="D14" s="20">
        <v>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16.5" customHeight="1" x14ac:dyDescent="0.4">
      <c r="A15" s="19">
        <v>43904</v>
      </c>
      <c r="B15" s="20">
        <v>21.984000000000002</v>
      </c>
      <c r="C15" s="20">
        <v>0</v>
      </c>
      <c r="D15" s="20">
        <v>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16.5" customHeight="1" x14ac:dyDescent="0.4">
      <c r="A16" s="19">
        <v>43905</v>
      </c>
      <c r="B16" s="20">
        <v>8.0129999999999999</v>
      </c>
      <c r="C16" s="20">
        <v>0</v>
      </c>
      <c r="D16" s="20">
        <v>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16.5" customHeight="1" x14ac:dyDescent="0.4">
      <c r="A17" s="19">
        <v>43906</v>
      </c>
      <c r="B17" s="20">
        <v>51.274999999999999</v>
      </c>
      <c r="C17" s="20">
        <v>0</v>
      </c>
      <c r="D17" s="20">
        <v>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16.5" customHeight="1" x14ac:dyDescent="0.4">
      <c r="A18" s="19">
        <v>43907</v>
      </c>
      <c r="B18" s="20">
        <v>11.179500000000001</v>
      </c>
      <c r="C18" s="20">
        <v>29.32</v>
      </c>
      <c r="D18" s="20">
        <v>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16.5" customHeight="1" x14ac:dyDescent="0.4">
      <c r="A19" s="19">
        <v>43908</v>
      </c>
      <c r="B19" s="20">
        <v>4.4546666666666699</v>
      </c>
      <c r="C19" s="20">
        <v>13.167999999999999</v>
      </c>
      <c r="D19" s="20">
        <v>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16.5" customHeight="1" x14ac:dyDescent="0.4">
      <c r="A20" s="19">
        <v>43909</v>
      </c>
      <c r="B20" s="20">
        <v>6.0125000000000002</v>
      </c>
      <c r="C20" s="20">
        <v>17.704888888888899</v>
      </c>
      <c r="D20" s="20">
        <v>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16.5" customHeight="1" x14ac:dyDescent="0.4">
      <c r="A21" s="19">
        <v>43910</v>
      </c>
      <c r="B21" s="20">
        <v>79.738384615384604</v>
      </c>
      <c r="C21" s="20">
        <v>34.973428571428599</v>
      </c>
      <c r="D21" s="20">
        <v>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16.5" customHeight="1" x14ac:dyDescent="0.4">
      <c r="A22" s="19">
        <v>43911</v>
      </c>
      <c r="B22" s="20">
        <v>83.652000000000001</v>
      </c>
      <c r="C22" s="20">
        <v>57.014000000000003</v>
      </c>
      <c r="D22" s="20">
        <v>26.902000000000001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ht="16.5" customHeight="1" x14ac:dyDescent="0.4">
      <c r="A23" s="19">
        <v>43912</v>
      </c>
      <c r="B23" s="20">
        <v>1.675</v>
      </c>
      <c r="C23" s="20">
        <v>9.4265000000000008</v>
      </c>
      <c r="D23" s="20">
        <v>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ht="16.5" customHeight="1" x14ac:dyDescent="0.4">
      <c r="A24" s="19">
        <v>43913</v>
      </c>
      <c r="B24" s="20">
        <v>108.791</v>
      </c>
      <c r="C24" s="20">
        <v>15.51</v>
      </c>
      <c r="D24" s="20">
        <v>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ht="16.5" customHeight="1" x14ac:dyDescent="0.4">
      <c r="A25" s="19">
        <v>43914</v>
      </c>
      <c r="B25" s="20">
        <v>24.133375000000001</v>
      </c>
      <c r="C25" s="20">
        <v>10.3601428571429</v>
      </c>
      <c r="D25" s="20">
        <v>52.555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ht="16.5" customHeight="1" x14ac:dyDescent="0.4">
      <c r="A26" s="19">
        <v>43915</v>
      </c>
      <c r="B26" s="20">
        <v>7.5446666666666697</v>
      </c>
      <c r="C26" s="20">
        <v>3.8374999999999999</v>
      </c>
      <c r="D26" s="20">
        <v>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ht="16.5" customHeight="1" x14ac:dyDescent="0.4">
      <c r="A27" s="19">
        <v>43916</v>
      </c>
      <c r="B27" s="20">
        <v>1.18966666666667</v>
      </c>
      <c r="C27" s="20">
        <v>0</v>
      </c>
      <c r="D27" s="20">
        <v>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 ht="16.5" customHeight="1" x14ac:dyDescent="0.4">
      <c r="A28" s="19">
        <v>43917</v>
      </c>
      <c r="B28" s="20">
        <v>53.033333333333303</v>
      </c>
      <c r="C28" s="20">
        <v>10.503833333333301</v>
      </c>
      <c r="D28" s="20">
        <v>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ht="16.5" customHeight="1" x14ac:dyDescent="0.4">
      <c r="A29" s="19">
        <v>43918</v>
      </c>
      <c r="B29" s="20">
        <v>10.01</v>
      </c>
      <c r="C29" s="20">
        <v>13.2216666666667</v>
      </c>
      <c r="D29" s="20">
        <v>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 ht="16.5" customHeight="1" x14ac:dyDescent="0.4">
      <c r="A30" s="19">
        <v>43919</v>
      </c>
      <c r="B30" s="20">
        <v>0</v>
      </c>
      <c r="C30" s="20">
        <v>0</v>
      </c>
      <c r="D30" s="20">
        <v>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ht="16.5" customHeight="1" x14ac:dyDescent="0.4">
      <c r="A31" s="19">
        <v>43920</v>
      </c>
      <c r="B31" s="20">
        <v>14.339</v>
      </c>
      <c r="C31" s="20">
        <v>65.272999999999996</v>
      </c>
      <c r="D31" s="20">
        <v>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16.5" customHeight="1" x14ac:dyDescent="0.4">
      <c r="A32" s="19">
        <v>43921</v>
      </c>
      <c r="B32" s="20">
        <v>18.8183333333333</v>
      </c>
      <c r="C32" s="20">
        <v>8.4453157894736908</v>
      </c>
      <c r="D32" s="20">
        <v>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</sheetData>
  <phoneticPr fontId="10" type="noConversion"/>
  <pageMargins left="0.7" right="0.7" top="0.75" bottom="0.75" header="0.3" footer="0.3"/>
  <pageSetup orientation="portrait" r:id="rId1"/>
  <headerFooter>
    <oddFooter>&amp;C&amp;"나눔고딕,Regular"&amp;12&amp;K000000&amp;P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showGridLines="0" workbookViewId="0">
      <selection activeCell="G7" sqref="G7"/>
    </sheetView>
  </sheetViews>
  <sheetFormatPr defaultColWidth="8.8984375" defaultRowHeight="22.35" customHeight="1" x14ac:dyDescent="0.4"/>
  <cols>
    <col min="1" max="1" width="13.3984375" style="15" customWidth="1"/>
    <col min="2" max="2" width="26.3984375" style="15" customWidth="1"/>
    <col min="3" max="5" width="8.8984375" style="15" customWidth="1"/>
    <col min="6" max="6" width="12.3984375" style="15" customWidth="1"/>
    <col min="7" max="7" width="25.8984375" style="15" customWidth="1"/>
    <col min="8" max="8" width="8.8984375" style="15" customWidth="1"/>
    <col min="9" max="16384" width="8.8984375" style="15"/>
  </cols>
  <sheetData>
    <row r="1" spans="1:7" ht="15.9" customHeight="1" x14ac:dyDescent="0.4">
      <c r="A1" s="21"/>
      <c r="B1" s="21"/>
      <c r="C1" s="21"/>
      <c r="D1" s="21"/>
      <c r="E1" s="21"/>
      <c r="F1" s="21"/>
      <c r="G1" s="21"/>
    </row>
    <row r="2" spans="1:7" ht="22.35" customHeight="1" x14ac:dyDescent="0.4">
      <c r="A2" s="112" t="s">
        <v>41</v>
      </c>
      <c r="B2" s="112" t="s">
        <v>42</v>
      </c>
      <c r="C2" s="114">
        <v>2019</v>
      </c>
      <c r="D2" s="115"/>
      <c r="E2" s="115"/>
      <c r="F2" s="116"/>
      <c r="G2" s="117" t="s">
        <v>43</v>
      </c>
    </row>
    <row r="3" spans="1:7" ht="22.35" customHeight="1" x14ac:dyDescent="0.4">
      <c r="A3" s="113"/>
      <c r="B3" s="113"/>
      <c r="C3" s="22" t="s">
        <v>17</v>
      </c>
      <c r="D3" s="22" t="s">
        <v>18</v>
      </c>
      <c r="E3" s="22" t="s">
        <v>19</v>
      </c>
      <c r="F3" s="22" t="s">
        <v>44</v>
      </c>
      <c r="G3" s="118"/>
    </row>
    <row r="4" spans="1:7" ht="22.35" customHeight="1" x14ac:dyDescent="0.4">
      <c r="A4" s="103" t="s">
        <v>45</v>
      </c>
      <c r="B4" s="23" t="s">
        <v>46</v>
      </c>
      <c r="C4" s="24">
        <v>4551</v>
      </c>
      <c r="D4" s="24">
        <v>5076</v>
      </c>
      <c r="E4" s="24">
        <v>5291</v>
      </c>
      <c r="F4" s="25">
        <f>AVERAGE(C4:E4)</f>
        <v>4972.666666666667</v>
      </c>
      <c r="G4" s="109">
        <f>F7*1.1*12</f>
        <v>106959.6</v>
      </c>
    </row>
    <row r="5" spans="1:7" ht="22.35" customHeight="1" x14ac:dyDescent="0.4">
      <c r="A5" s="104"/>
      <c r="B5" s="23" t="s">
        <v>47</v>
      </c>
      <c r="C5" s="26">
        <v>746</v>
      </c>
      <c r="D5" s="24">
        <v>1511</v>
      </c>
      <c r="E5" s="24">
        <v>1230</v>
      </c>
      <c r="F5" s="25">
        <f>AVERAGE(C5:E5)</f>
        <v>1162.3333333333333</v>
      </c>
      <c r="G5" s="110"/>
    </row>
    <row r="6" spans="1:7" ht="22.35" customHeight="1" x14ac:dyDescent="0.4">
      <c r="A6" s="104"/>
      <c r="B6" s="23" t="s">
        <v>48</v>
      </c>
      <c r="C6" s="24">
        <v>1892</v>
      </c>
      <c r="D6" s="24">
        <v>1983</v>
      </c>
      <c r="E6" s="24">
        <v>2029</v>
      </c>
      <c r="F6" s="25">
        <f>AVERAGE(C6:E6)</f>
        <v>1968</v>
      </c>
      <c r="G6" s="111"/>
    </row>
    <row r="7" spans="1:7" ht="22.35" customHeight="1" x14ac:dyDescent="0.4">
      <c r="A7" s="105"/>
      <c r="B7" s="27" t="s">
        <v>49</v>
      </c>
      <c r="C7" s="28">
        <f>SUM(C4:C6)</f>
        <v>7189</v>
      </c>
      <c r="D7" s="28">
        <f>SUM(D4:D6)</f>
        <v>8570</v>
      </c>
      <c r="E7" s="28">
        <f>SUM(E4:E6)</f>
        <v>8550</v>
      </c>
      <c r="F7" s="28">
        <f>SUM(F4:F6)</f>
        <v>8103</v>
      </c>
      <c r="G7" s="29" t="s">
        <v>50</v>
      </c>
    </row>
    <row r="8" spans="1:7" ht="22.35" customHeight="1" x14ac:dyDescent="0.4">
      <c r="A8" s="103" t="s">
        <v>51</v>
      </c>
      <c r="B8" s="23" t="s">
        <v>52</v>
      </c>
      <c r="C8" s="106" t="s">
        <v>53</v>
      </c>
      <c r="D8" s="107"/>
      <c r="E8" s="108"/>
      <c r="F8" s="30"/>
      <c r="G8" s="109">
        <f>120000*10</f>
        <v>1200000</v>
      </c>
    </row>
    <row r="9" spans="1:7" ht="22.35" customHeight="1" x14ac:dyDescent="0.4">
      <c r="A9" s="104"/>
      <c r="B9" s="23" t="s">
        <v>54</v>
      </c>
      <c r="C9" s="31">
        <v>114091</v>
      </c>
      <c r="D9" s="31">
        <v>109541</v>
      </c>
      <c r="E9" s="31">
        <v>84144</v>
      </c>
      <c r="F9" s="32">
        <v>102592</v>
      </c>
      <c r="G9" s="110"/>
    </row>
    <row r="10" spans="1:7" ht="22.35" customHeight="1" x14ac:dyDescent="0.4">
      <c r="A10" s="105"/>
      <c r="B10" s="23" t="s">
        <v>55</v>
      </c>
      <c r="C10" s="106" t="s">
        <v>53</v>
      </c>
      <c r="D10" s="107"/>
      <c r="E10" s="108"/>
      <c r="F10" s="30"/>
      <c r="G10" s="111"/>
    </row>
  </sheetData>
  <mergeCells count="10">
    <mergeCell ref="A8:A10"/>
    <mergeCell ref="C8:E8"/>
    <mergeCell ref="G8:G10"/>
    <mergeCell ref="C10:E10"/>
    <mergeCell ref="A2:A3"/>
    <mergeCell ref="B2:B3"/>
    <mergeCell ref="C2:F2"/>
    <mergeCell ref="G2:G3"/>
    <mergeCell ref="A4:A7"/>
    <mergeCell ref="G4:G6"/>
  </mergeCells>
  <phoneticPr fontId="10" type="noConversion"/>
  <pageMargins left="0.7" right="0.7" top="0.75" bottom="0.75" header="0.3" footer="0.3"/>
  <pageSetup orientation="portrait" r:id="rId1"/>
  <headerFooter>
    <oddFooter>&amp;C&amp;"나눔고딕,Regular"&amp;12&amp;K000000&amp;P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showGridLines="0" workbookViewId="0"/>
  </sheetViews>
  <sheetFormatPr defaultColWidth="8.8984375" defaultRowHeight="16.5" customHeight="1" x14ac:dyDescent="0.4"/>
  <cols>
    <col min="1" max="1" width="8.8984375" style="15" customWidth="1"/>
    <col min="2" max="2" width="18.5" style="15" customWidth="1"/>
    <col min="3" max="3" width="23" style="15" customWidth="1"/>
    <col min="4" max="4" width="21" style="15" customWidth="1"/>
    <col min="5" max="6" width="8.8984375" style="15" customWidth="1"/>
    <col min="7" max="16384" width="8.8984375" style="15"/>
  </cols>
  <sheetData>
    <row r="1" spans="1:5" ht="15.9" customHeight="1" x14ac:dyDescent="0.4">
      <c r="A1" s="12"/>
      <c r="B1" s="33" t="s">
        <v>56</v>
      </c>
      <c r="C1" s="33" t="s">
        <v>57</v>
      </c>
      <c r="D1" s="33" t="s">
        <v>58</v>
      </c>
      <c r="E1" s="1"/>
    </row>
    <row r="2" spans="1:5" ht="15.9" customHeight="1" x14ac:dyDescent="0.4">
      <c r="A2" s="12"/>
      <c r="B2" s="34">
        <v>2015</v>
      </c>
      <c r="C2" s="35">
        <v>750448</v>
      </c>
      <c r="D2" s="35">
        <v>1720136</v>
      </c>
      <c r="E2" s="1"/>
    </row>
    <row r="3" spans="1:5" ht="15.9" customHeight="1" x14ac:dyDescent="0.4">
      <c r="A3" s="12"/>
      <c r="B3" s="34">
        <v>2016</v>
      </c>
      <c r="C3" s="35">
        <v>880438</v>
      </c>
      <c r="D3" s="35">
        <v>1905546</v>
      </c>
      <c r="E3" s="1"/>
    </row>
    <row r="4" spans="1:5" ht="15.9" customHeight="1" x14ac:dyDescent="0.4">
      <c r="A4" s="12"/>
      <c r="B4" s="34">
        <v>2017</v>
      </c>
      <c r="C4" s="35">
        <v>1068243</v>
      </c>
      <c r="D4" s="35">
        <v>2385034</v>
      </c>
      <c r="E4" s="1"/>
    </row>
    <row r="5" spans="1:5" ht="15.9" customHeight="1" x14ac:dyDescent="0.4">
      <c r="A5" s="12"/>
      <c r="B5" s="34">
        <v>2018</v>
      </c>
      <c r="C5" s="35">
        <v>1498789</v>
      </c>
      <c r="D5" s="35">
        <v>3468287</v>
      </c>
      <c r="E5" s="1"/>
    </row>
    <row r="6" spans="1:5" ht="15.9" customHeight="1" x14ac:dyDescent="0.4">
      <c r="A6" s="12"/>
      <c r="B6" s="34">
        <v>2019</v>
      </c>
      <c r="C6" s="35">
        <v>1344308</v>
      </c>
      <c r="D6" s="35">
        <v>3081138</v>
      </c>
      <c r="E6" s="1"/>
    </row>
    <row r="7" spans="1:5" ht="15.9" customHeight="1" x14ac:dyDescent="0.4">
      <c r="A7" s="11"/>
      <c r="B7" s="13"/>
      <c r="C7" s="36"/>
      <c r="D7" s="37"/>
      <c r="E7" s="11"/>
    </row>
    <row r="8" spans="1:5" ht="15.9" customHeight="1" x14ac:dyDescent="0.4">
      <c r="A8" s="12"/>
      <c r="B8" s="33" t="s">
        <v>59</v>
      </c>
      <c r="C8" s="33" t="s">
        <v>60</v>
      </c>
      <c r="D8" s="1"/>
      <c r="E8" s="11"/>
    </row>
    <row r="9" spans="1:5" ht="15.9" customHeight="1" x14ac:dyDescent="0.4">
      <c r="A9" s="12"/>
      <c r="B9" s="38" t="s">
        <v>61</v>
      </c>
      <c r="C9" s="39">
        <v>1120</v>
      </c>
      <c r="D9" s="1"/>
      <c r="E9" s="11"/>
    </row>
    <row r="10" spans="1:5" ht="15.9" customHeight="1" x14ac:dyDescent="0.4">
      <c r="A10" s="12"/>
      <c r="B10" s="38" t="s">
        <v>51</v>
      </c>
      <c r="C10" s="40">
        <v>31384</v>
      </c>
      <c r="D10" s="1"/>
      <c r="E10" s="11"/>
    </row>
    <row r="11" spans="1:5" ht="15.9" customHeight="1" x14ac:dyDescent="0.4">
      <c r="A11" s="12"/>
      <c r="B11" s="38" t="s">
        <v>62</v>
      </c>
      <c r="C11" s="40">
        <v>3103</v>
      </c>
      <c r="D11" s="1"/>
      <c r="E11" s="11"/>
    </row>
    <row r="12" spans="1:5" ht="15.9" customHeight="1" x14ac:dyDescent="0.4">
      <c r="A12" s="12"/>
      <c r="B12" s="38" t="s">
        <v>21</v>
      </c>
      <c r="C12" s="41">
        <f>SUM(C9:C11)</f>
        <v>35607</v>
      </c>
      <c r="D12" s="1"/>
      <c r="E12" s="11"/>
    </row>
  </sheetData>
  <phoneticPr fontId="10" type="noConversion"/>
  <pageMargins left="0.7" right="0.7" top="0.75" bottom="0.75" header="0.3" footer="0.3"/>
  <pageSetup orientation="portrait" r:id="rId1"/>
  <headerFooter>
    <oddFooter>&amp;C&amp;"나눔고딕,Regular"&amp;12&amp;K000000&amp;P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0"/>
  <sheetViews>
    <sheetView showGridLines="0" workbookViewId="0"/>
  </sheetViews>
  <sheetFormatPr defaultColWidth="8.8984375" defaultRowHeight="13.5" customHeight="1" x14ac:dyDescent="0.4"/>
  <cols>
    <col min="1" max="1" width="8.8984375" style="15" customWidth="1"/>
    <col min="2" max="2" width="16.5" style="15" customWidth="1"/>
    <col min="3" max="3" width="23" style="15" customWidth="1"/>
    <col min="4" max="27" width="8" style="15" customWidth="1"/>
    <col min="28" max="28" width="14.8984375" style="15" customWidth="1"/>
    <col min="29" max="29" width="9.5" style="15" customWidth="1"/>
    <col min="30" max="30" width="24.3984375" style="15" customWidth="1"/>
    <col min="31" max="32" width="14.3984375" style="15" customWidth="1"/>
    <col min="33" max="33" width="8.8984375" style="15" customWidth="1"/>
    <col min="34" max="16384" width="8.8984375" style="15"/>
  </cols>
  <sheetData>
    <row r="1" spans="1:32" ht="24" customHeight="1" x14ac:dyDescent="0.4">
      <c r="A1" s="42" t="s">
        <v>63</v>
      </c>
      <c r="B1" s="4"/>
      <c r="C1" s="5"/>
      <c r="D1" s="5"/>
      <c r="E1" s="5"/>
      <c r="F1" s="5"/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5" customHeight="1" x14ac:dyDescent="0.4">
      <c r="A2" s="119" t="s">
        <v>59</v>
      </c>
      <c r="B2" s="120"/>
      <c r="C2" s="44" t="s">
        <v>64</v>
      </c>
      <c r="D2" s="45">
        <v>43101</v>
      </c>
      <c r="E2" s="45">
        <v>43132</v>
      </c>
      <c r="F2" s="45">
        <v>43160</v>
      </c>
      <c r="G2" s="45">
        <v>43191</v>
      </c>
      <c r="H2" s="45">
        <v>43221</v>
      </c>
      <c r="I2" s="45">
        <v>43252</v>
      </c>
      <c r="J2" s="45">
        <v>43282</v>
      </c>
      <c r="K2" s="45">
        <v>43313</v>
      </c>
      <c r="L2" s="45">
        <v>43344</v>
      </c>
      <c r="M2" s="45">
        <v>43374</v>
      </c>
      <c r="N2" s="45">
        <v>43405</v>
      </c>
      <c r="O2" s="45">
        <v>43435</v>
      </c>
      <c r="P2" s="46">
        <v>43466</v>
      </c>
      <c r="Q2" s="46">
        <v>43497</v>
      </c>
      <c r="R2" s="46">
        <v>43525</v>
      </c>
      <c r="S2" s="46">
        <v>43556</v>
      </c>
      <c r="T2" s="46">
        <v>43586</v>
      </c>
      <c r="U2" s="46">
        <v>43617</v>
      </c>
      <c r="V2" s="46">
        <v>43647</v>
      </c>
      <c r="W2" s="46">
        <v>43678</v>
      </c>
      <c r="X2" s="46">
        <v>43709</v>
      </c>
      <c r="Y2" s="46">
        <v>43739</v>
      </c>
      <c r="Z2" s="46">
        <v>43770</v>
      </c>
      <c r="AA2" s="46">
        <v>43800</v>
      </c>
      <c r="AB2" s="43" t="s">
        <v>65</v>
      </c>
      <c r="AC2" s="43" t="s">
        <v>44</v>
      </c>
      <c r="AD2" s="47" t="s">
        <v>66</v>
      </c>
      <c r="AE2" s="47" t="s">
        <v>67</v>
      </c>
      <c r="AF2" s="47" t="s">
        <v>68</v>
      </c>
    </row>
    <row r="3" spans="1:32" ht="15" customHeight="1" x14ac:dyDescent="0.4">
      <c r="A3" s="121" t="s">
        <v>57</v>
      </c>
      <c r="B3" s="48" t="s">
        <v>69</v>
      </c>
      <c r="C3" s="7" t="s">
        <v>70</v>
      </c>
      <c r="D3" s="14">
        <v>23693</v>
      </c>
      <c r="E3" s="14">
        <v>16553</v>
      </c>
      <c r="F3" s="14">
        <v>25478</v>
      </c>
      <c r="G3" s="14">
        <v>32842</v>
      </c>
      <c r="H3" s="14">
        <v>25464</v>
      </c>
      <c r="I3" s="14">
        <v>40524</v>
      </c>
      <c r="J3" s="14">
        <v>38961</v>
      </c>
      <c r="K3" s="14">
        <v>41345</v>
      </c>
      <c r="L3" s="14">
        <v>39128</v>
      </c>
      <c r="M3" s="14">
        <v>37169</v>
      </c>
      <c r="N3" s="14">
        <v>38964</v>
      </c>
      <c r="O3" s="14">
        <v>49785</v>
      </c>
      <c r="P3" s="49">
        <v>45105</v>
      </c>
      <c r="Q3" s="49">
        <v>30394</v>
      </c>
      <c r="R3" s="49">
        <v>45191</v>
      </c>
      <c r="S3" s="6">
        <v>41712</v>
      </c>
      <c r="T3" s="6">
        <v>34449</v>
      </c>
      <c r="U3" s="6">
        <v>27669</v>
      </c>
      <c r="V3" s="6">
        <v>31474</v>
      </c>
      <c r="W3" s="6">
        <v>30516</v>
      </c>
      <c r="X3" s="6">
        <v>32838</v>
      </c>
      <c r="Y3" s="6">
        <v>27421</v>
      </c>
      <c r="Z3" s="6">
        <v>27381</v>
      </c>
      <c r="AA3" s="6">
        <v>24670</v>
      </c>
      <c r="AB3" s="16">
        <f t="shared" ref="AB3:AB15" si="0">SUM(D3:AA3)</f>
        <v>808726</v>
      </c>
      <c r="AC3" s="50">
        <f>AB3/24</f>
        <v>33696.916666666664</v>
      </c>
      <c r="AD3" s="51" t="s">
        <v>71</v>
      </c>
      <c r="AE3" s="52">
        <f>AC3*1.05</f>
        <v>35381.762499999997</v>
      </c>
      <c r="AF3" s="52">
        <f t="shared" ref="AF3:AF16" si="1">AE3*12</f>
        <v>424581.14999999997</v>
      </c>
    </row>
    <row r="4" spans="1:32" ht="15" customHeight="1" x14ac:dyDescent="0.4">
      <c r="A4" s="122"/>
      <c r="B4" s="48" t="s">
        <v>72</v>
      </c>
      <c r="C4" s="7" t="s">
        <v>70</v>
      </c>
      <c r="D4" s="14">
        <v>14632</v>
      </c>
      <c r="E4" s="14">
        <v>13370</v>
      </c>
      <c r="F4" s="14">
        <v>17115</v>
      </c>
      <c r="G4" s="14">
        <v>17260</v>
      </c>
      <c r="H4" s="14">
        <v>20395</v>
      </c>
      <c r="I4" s="14">
        <v>34726</v>
      </c>
      <c r="J4" s="14">
        <v>27410</v>
      </c>
      <c r="K4" s="14">
        <v>49663</v>
      </c>
      <c r="L4" s="14">
        <v>86114</v>
      </c>
      <c r="M4" s="14">
        <v>68971</v>
      </c>
      <c r="N4" s="14">
        <v>72901</v>
      </c>
      <c r="O4" s="14">
        <v>180987</v>
      </c>
      <c r="P4" s="49">
        <v>178014</v>
      </c>
      <c r="Q4" s="49">
        <v>192678</v>
      </c>
      <c r="R4" s="49">
        <v>169181</v>
      </c>
      <c r="S4" s="6">
        <v>160246</v>
      </c>
      <c r="T4" s="6">
        <v>139932</v>
      </c>
      <c r="U4" s="6">
        <v>136635</v>
      </c>
      <c r="V4" s="6">
        <v>155062</v>
      </c>
      <c r="W4" s="6">
        <v>154617</v>
      </c>
      <c r="X4" s="6">
        <v>170829</v>
      </c>
      <c r="Y4" s="6">
        <v>188482</v>
      </c>
      <c r="Z4" s="6">
        <v>140886</v>
      </c>
      <c r="AA4" s="6">
        <v>98224</v>
      </c>
      <c r="AB4" s="16">
        <f t="shared" si="0"/>
        <v>2488330</v>
      </c>
      <c r="AC4" s="50">
        <f>AB4/24</f>
        <v>103680.41666666667</v>
      </c>
      <c r="AD4" s="51" t="s">
        <v>71</v>
      </c>
      <c r="AE4" s="52">
        <f>AC4*1.05</f>
        <v>108864.43750000001</v>
      </c>
      <c r="AF4" s="52">
        <f t="shared" si="1"/>
        <v>1306373.2500000002</v>
      </c>
    </row>
    <row r="5" spans="1:32" ht="24" customHeight="1" x14ac:dyDescent="0.4">
      <c r="A5" s="122"/>
      <c r="B5" s="48" t="s">
        <v>73</v>
      </c>
      <c r="C5" s="7" t="s">
        <v>74</v>
      </c>
      <c r="D5" s="49">
        <v>0</v>
      </c>
      <c r="E5" s="49">
        <v>0</v>
      </c>
      <c r="F5" s="49">
        <v>0</v>
      </c>
      <c r="G5" s="49">
        <v>0</v>
      </c>
      <c r="H5" s="49">
        <v>0</v>
      </c>
      <c r="I5" s="49">
        <v>0</v>
      </c>
      <c r="J5" s="49">
        <v>0</v>
      </c>
      <c r="K5" s="49">
        <v>0</v>
      </c>
      <c r="L5" s="49">
        <v>0</v>
      </c>
      <c r="M5" s="49">
        <v>0</v>
      </c>
      <c r="N5" s="49">
        <v>0</v>
      </c>
      <c r="O5" s="49">
        <v>0</v>
      </c>
      <c r="P5" s="49">
        <v>0</v>
      </c>
      <c r="Q5" s="49">
        <v>0</v>
      </c>
      <c r="R5" s="49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10252</v>
      </c>
      <c r="Y5" s="6">
        <v>9506</v>
      </c>
      <c r="Z5" s="6">
        <v>9746</v>
      </c>
      <c r="AA5" s="6">
        <v>8515</v>
      </c>
      <c r="AB5" s="16">
        <f t="shared" si="0"/>
        <v>38019</v>
      </c>
      <c r="AC5" s="50">
        <f>AB5/4</f>
        <v>9504.75</v>
      </c>
      <c r="AD5" s="51" t="s">
        <v>71</v>
      </c>
      <c r="AE5" s="52">
        <f>AC5*1.05</f>
        <v>9979.9875000000011</v>
      </c>
      <c r="AF5" s="52">
        <f t="shared" si="1"/>
        <v>119759.85</v>
      </c>
    </row>
    <row r="6" spans="1:32" ht="15" customHeight="1" x14ac:dyDescent="0.4">
      <c r="A6" s="122"/>
      <c r="B6" s="48" t="s">
        <v>75</v>
      </c>
      <c r="C6" s="7" t="s">
        <v>70</v>
      </c>
      <c r="D6" s="14">
        <v>3055</v>
      </c>
      <c r="E6" s="14">
        <v>3402</v>
      </c>
      <c r="F6" s="14">
        <v>4221</v>
      </c>
      <c r="G6" s="14">
        <v>4388</v>
      </c>
      <c r="H6" s="14">
        <v>4821</v>
      </c>
      <c r="I6" s="14">
        <v>5798</v>
      </c>
      <c r="J6" s="14">
        <v>6008</v>
      </c>
      <c r="K6" s="14">
        <v>5449</v>
      </c>
      <c r="L6" s="14">
        <v>4723</v>
      </c>
      <c r="M6" s="14">
        <v>5560</v>
      </c>
      <c r="N6" s="14">
        <v>5136</v>
      </c>
      <c r="O6" s="14">
        <v>4199</v>
      </c>
      <c r="P6" s="49">
        <v>4021</v>
      </c>
      <c r="Q6" s="49">
        <v>3919</v>
      </c>
      <c r="R6" s="49">
        <v>4233</v>
      </c>
      <c r="S6" s="6">
        <v>4401</v>
      </c>
      <c r="T6" s="6">
        <v>4647</v>
      </c>
      <c r="U6" s="6">
        <v>4827</v>
      </c>
      <c r="V6" s="6">
        <v>6146</v>
      </c>
      <c r="W6" s="6">
        <v>4207</v>
      </c>
      <c r="X6" s="6">
        <v>3685</v>
      </c>
      <c r="Y6" s="6">
        <v>4172</v>
      </c>
      <c r="Z6" s="6">
        <v>3971</v>
      </c>
      <c r="AA6" s="6">
        <v>3530</v>
      </c>
      <c r="AB6" s="16">
        <f t="shared" si="0"/>
        <v>108519</v>
      </c>
      <c r="AC6" s="50">
        <f>AB6/24</f>
        <v>4521.625</v>
      </c>
      <c r="AD6" s="51" t="s">
        <v>71</v>
      </c>
      <c r="AE6" s="52">
        <f>AC6*1.05</f>
        <v>4747.7062500000002</v>
      </c>
      <c r="AF6" s="52">
        <f t="shared" si="1"/>
        <v>56972.475000000006</v>
      </c>
    </row>
    <row r="7" spans="1:32" ht="15" customHeight="1" x14ac:dyDescent="0.4">
      <c r="A7" s="122"/>
      <c r="B7" s="48" t="s">
        <v>51</v>
      </c>
      <c r="C7" s="7" t="s">
        <v>76</v>
      </c>
      <c r="D7" s="49">
        <v>0</v>
      </c>
      <c r="E7" s="49">
        <v>0</v>
      </c>
      <c r="F7" s="49">
        <v>0</v>
      </c>
      <c r="G7" s="49">
        <v>0</v>
      </c>
      <c r="H7" s="49">
        <v>0</v>
      </c>
      <c r="I7" s="49">
        <v>0</v>
      </c>
      <c r="J7" s="49">
        <v>0</v>
      </c>
      <c r="K7" s="49">
        <v>0</v>
      </c>
      <c r="L7" s="49">
        <v>0</v>
      </c>
      <c r="M7" s="49">
        <v>0</v>
      </c>
      <c r="N7" s="49">
        <v>0</v>
      </c>
      <c r="O7" s="49">
        <v>0</v>
      </c>
      <c r="P7" s="49">
        <v>0</v>
      </c>
      <c r="Q7" s="49">
        <v>0</v>
      </c>
      <c r="R7" s="49">
        <v>0</v>
      </c>
      <c r="S7" s="6">
        <v>1930</v>
      </c>
      <c r="T7" s="6">
        <v>1894</v>
      </c>
      <c r="U7" s="6">
        <v>2096</v>
      </c>
      <c r="V7" s="6">
        <v>2212</v>
      </c>
      <c r="W7" s="6">
        <v>1897</v>
      </c>
      <c r="X7" s="6">
        <v>1875</v>
      </c>
      <c r="Y7" s="6">
        <v>8435</v>
      </c>
      <c r="Z7" s="6">
        <v>16681</v>
      </c>
      <c r="AA7" s="6">
        <v>13811</v>
      </c>
      <c r="AB7" s="16">
        <f t="shared" si="0"/>
        <v>50831</v>
      </c>
      <c r="AC7" s="50">
        <f>AB7/9</f>
        <v>5647.8888888888887</v>
      </c>
      <c r="AD7" s="51" t="s">
        <v>71</v>
      </c>
      <c r="AE7" s="52">
        <f>AC7*1.05</f>
        <v>5930.2833333333338</v>
      </c>
      <c r="AF7" s="52">
        <f t="shared" si="1"/>
        <v>71163.400000000009</v>
      </c>
    </row>
    <row r="8" spans="1:32" ht="24" customHeight="1" x14ac:dyDescent="0.4">
      <c r="A8" s="122"/>
      <c r="B8" s="48" t="s">
        <v>62</v>
      </c>
      <c r="C8" s="7" t="s">
        <v>77</v>
      </c>
      <c r="D8" s="49">
        <v>0</v>
      </c>
      <c r="E8" s="49">
        <v>0</v>
      </c>
      <c r="F8" s="49">
        <v>0</v>
      </c>
      <c r="G8" s="49">
        <v>0</v>
      </c>
      <c r="H8" s="49">
        <v>0</v>
      </c>
      <c r="I8" s="49">
        <v>0</v>
      </c>
      <c r="J8" s="49">
        <v>0</v>
      </c>
      <c r="K8" s="49">
        <v>0</v>
      </c>
      <c r="L8" s="49">
        <v>0</v>
      </c>
      <c r="M8" s="49">
        <v>0</v>
      </c>
      <c r="N8" s="49">
        <v>0</v>
      </c>
      <c r="O8" s="49">
        <v>0</v>
      </c>
      <c r="P8" s="49">
        <v>0</v>
      </c>
      <c r="Q8" s="49">
        <v>0</v>
      </c>
      <c r="R8" s="49">
        <v>0</v>
      </c>
      <c r="S8" s="6">
        <v>3242</v>
      </c>
      <c r="T8" s="6">
        <v>4183</v>
      </c>
      <c r="U8" s="6">
        <v>3713</v>
      </c>
      <c r="V8" s="6">
        <v>4171</v>
      </c>
      <c r="W8" s="6">
        <v>3896</v>
      </c>
      <c r="X8" s="6">
        <v>3879</v>
      </c>
      <c r="Y8" s="6">
        <v>4095</v>
      </c>
      <c r="Z8" s="6">
        <v>4252</v>
      </c>
      <c r="AA8" s="6">
        <v>3459</v>
      </c>
      <c r="AB8" s="16">
        <f t="shared" si="0"/>
        <v>34890</v>
      </c>
      <c r="AC8" s="50">
        <f>AB8/9</f>
        <v>3876.6666666666665</v>
      </c>
      <c r="AD8" s="51" t="s">
        <v>78</v>
      </c>
      <c r="AE8" s="52">
        <f>AC8*1.02</f>
        <v>3954.2</v>
      </c>
      <c r="AF8" s="52">
        <f t="shared" si="1"/>
        <v>47450.399999999994</v>
      </c>
    </row>
    <row r="9" spans="1:32" ht="15" customHeight="1" x14ac:dyDescent="0.4">
      <c r="A9" s="122"/>
      <c r="B9" s="53" t="s">
        <v>21</v>
      </c>
      <c r="C9" s="54"/>
      <c r="D9" s="55">
        <f t="shared" ref="D9:AA9" si="2">SUM(D3:D8)</f>
        <v>41380</v>
      </c>
      <c r="E9" s="55">
        <f t="shared" si="2"/>
        <v>33325</v>
      </c>
      <c r="F9" s="55">
        <f t="shared" si="2"/>
        <v>46814</v>
      </c>
      <c r="G9" s="55">
        <f t="shared" si="2"/>
        <v>54490</v>
      </c>
      <c r="H9" s="55">
        <f t="shared" si="2"/>
        <v>50680</v>
      </c>
      <c r="I9" s="55">
        <f t="shared" si="2"/>
        <v>81048</v>
      </c>
      <c r="J9" s="55">
        <f t="shared" si="2"/>
        <v>72379</v>
      </c>
      <c r="K9" s="55">
        <f t="shared" si="2"/>
        <v>96457</v>
      </c>
      <c r="L9" s="55">
        <f t="shared" si="2"/>
        <v>129965</v>
      </c>
      <c r="M9" s="55">
        <f t="shared" si="2"/>
        <v>111700</v>
      </c>
      <c r="N9" s="55">
        <f t="shared" si="2"/>
        <v>117001</v>
      </c>
      <c r="O9" s="55">
        <f t="shared" si="2"/>
        <v>234971</v>
      </c>
      <c r="P9" s="55">
        <f t="shared" si="2"/>
        <v>227140</v>
      </c>
      <c r="Q9" s="55">
        <f t="shared" si="2"/>
        <v>226991</v>
      </c>
      <c r="R9" s="55">
        <f t="shared" si="2"/>
        <v>218605</v>
      </c>
      <c r="S9" s="55">
        <f t="shared" si="2"/>
        <v>211531</v>
      </c>
      <c r="T9" s="55">
        <f t="shared" si="2"/>
        <v>185105</v>
      </c>
      <c r="U9" s="55">
        <f t="shared" si="2"/>
        <v>174940</v>
      </c>
      <c r="V9" s="55">
        <f t="shared" si="2"/>
        <v>199065</v>
      </c>
      <c r="W9" s="55">
        <f t="shared" si="2"/>
        <v>195133</v>
      </c>
      <c r="X9" s="55">
        <f t="shared" si="2"/>
        <v>223358</v>
      </c>
      <c r="Y9" s="55">
        <f t="shared" si="2"/>
        <v>242111</v>
      </c>
      <c r="Z9" s="55">
        <f t="shared" si="2"/>
        <v>202917</v>
      </c>
      <c r="AA9" s="55">
        <f t="shared" si="2"/>
        <v>152209</v>
      </c>
      <c r="AB9" s="56">
        <f t="shared" si="0"/>
        <v>3529315</v>
      </c>
      <c r="AC9" s="57">
        <f>SUM(AC3:AC8)</f>
        <v>160928.26388888888</v>
      </c>
      <c r="AD9" s="58"/>
      <c r="AE9" s="59">
        <f>SUM(AE3:AE8)</f>
        <v>168858.37708333333</v>
      </c>
      <c r="AF9" s="59">
        <f t="shared" si="1"/>
        <v>2026300.5249999999</v>
      </c>
    </row>
    <row r="10" spans="1:32" ht="15" customHeight="1" x14ac:dyDescent="0.4">
      <c r="A10" s="123" t="s">
        <v>79</v>
      </c>
      <c r="B10" s="60" t="s">
        <v>69</v>
      </c>
      <c r="C10" s="7" t="s">
        <v>70</v>
      </c>
      <c r="D10" s="14">
        <v>67917</v>
      </c>
      <c r="E10" s="14">
        <v>44898</v>
      </c>
      <c r="F10" s="14">
        <v>76630</v>
      </c>
      <c r="G10" s="14">
        <v>84651</v>
      </c>
      <c r="H10" s="14">
        <v>75190</v>
      </c>
      <c r="I10" s="14">
        <v>137234</v>
      </c>
      <c r="J10" s="14">
        <v>121427</v>
      </c>
      <c r="K10" s="14">
        <v>121437</v>
      </c>
      <c r="L10" s="14">
        <v>119173</v>
      </c>
      <c r="M10" s="14">
        <v>108920</v>
      </c>
      <c r="N10" s="14">
        <v>118612</v>
      </c>
      <c r="O10" s="14">
        <v>149352</v>
      </c>
      <c r="P10" s="49">
        <v>145712</v>
      </c>
      <c r="Q10" s="49">
        <v>85847</v>
      </c>
      <c r="R10" s="49">
        <v>145605</v>
      </c>
      <c r="S10" s="6">
        <v>138970</v>
      </c>
      <c r="T10" s="6">
        <v>107378</v>
      </c>
      <c r="U10" s="6">
        <v>85767</v>
      </c>
      <c r="V10" s="6">
        <v>90202</v>
      </c>
      <c r="W10" s="6">
        <v>84987</v>
      </c>
      <c r="X10" s="6">
        <v>102587</v>
      </c>
      <c r="Y10" s="6">
        <v>88151</v>
      </c>
      <c r="Z10" s="6">
        <v>167171</v>
      </c>
      <c r="AA10" s="6">
        <v>122289</v>
      </c>
      <c r="AB10" s="16">
        <f t="shared" si="0"/>
        <v>2590107</v>
      </c>
      <c r="AC10" s="50">
        <f>AB10/24</f>
        <v>107921.125</v>
      </c>
      <c r="AD10" s="51" t="s">
        <v>71</v>
      </c>
      <c r="AE10" s="61">
        <f>AC10*1.05</f>
        <v>113317.18125000001</v>
      </c>
      <c r="AF10" s="61">
        <f t="shared" si="1"/>
        <v>1359806.175</v>
      </c>
    </row>
    <row r="11" spans="1:32" ht="15" customHeight="1" x14ac:dyDescent="0.4">
      <c r="A11" s="124"/>
      <c r="B11" s="60" t="s">
        <v>72</v>
      </c>
      <c r="C11" s="7" t="s">
        <v>70</v>
      </c>
      <c r="D11" s="14">
        <v>32584</v>
      </c>
      <c r="E11" s="14">
        <v>29736</v>
      </c>
      <c r="F11" s="14">
        <v>36986</v>
      </c>
      <c r="G11" s="14">
        <v>38242</v>
      </c>
      <c r="H11" s="14">
        <v>46488</v>
      </c>
      <c r="I11" s="14">
        <v>65272</v>
      </c>
      <c r="J11" s="14">
        <v>62417</v>
      </c>
      <c r="K11" s="14">
        <v>84273</v>
      </c>
      <c r="L11" s="14">
        <v>117533</v>
      </c>
      <c r="M11" s="14">
        <v>102549</v>
      </c>
      <c r="N11" s="14">
        <v>104878</v>
      </c>
      <c r="O11" s="14">
        <v>205233</v>
      </c>
      <c r="P11" s="49">
        <v>209634</v>
      </c>
      <c r="Q11" s="49">
        <v>220019</v>
      </c>
      <c r="R11" s="49">
        <v>222283</v>
      </c>
      <c r="S11" s="6">
        <v>338951</v>
      </c>
      <c r="T11" s="6">
        <v>288982</v>
      </c>
      <c r="U11" s="6">
        <v>276497</v>
      </c>
      <c r="V11" s="6">
        <v>312898</v>
      </c>
      <c r="W11" s="6">
        <v>316812</v>
      </c>
      <c r="X11" s="6">
        <v>346514</v>
      </c>
      <c r="Y11" s="6">
        <v>387605</v>
      </c>
      <c r="Z11" s="6">
        <v>456107</v>
      </c>
      <c r="AA11" s="6">
        <v>312595</v>
      </c>
      <c r="AB11" s="16">
        <f t="shared" si="0"/>
        <v>4615088</v>
      </c>
      <c r="AC11" s="50">
        <f>AB11/24</f>
        <v>192295.33333333334</v>
      </c>
      <c r="AD11" s="51" t="s">
        <v>71</v>
      </c>
      <c r="AE11" s="61">
        <f>AC11*1.05</f>
        <v>201910.1</v>
      </c>
      <c r="AF11" s="61">
        <f t="shared" si="1"/>
        <v>2422921.2000000002</v>
      </c>
    </row>
    <row r="12" spans="1:32" ht="24" customHeight="1" x14ac:dyDescent="0.4">
      <c r="A12" s="124"/>
      <c r="B12" s="60" t="s">
        <v>73</v>
      </c>
      <c r="C12" s="7" t="s">
        <v>74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>
        <v>0</v>
      </c>
      <c r="K12" s="49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25233</v>
      </c>
      <c r="Y12" s="6">
        <v>28027</v>
      </c>
      <c r="Z12" s="6">
        <v>51435</v>
      </c>
      <c r="AA12" s="6">
        <v>44431</v>
      </c>
      <c r="AB12" s="16">
        <f t="shared" si="0"/>
        <v>149126</v>
      </c>
      <c r="AC12" s="50">
        <f>AB12/4</f>
        <v>37281.5</v>
      </c>
      <c r="AD12" s="51" t="s">
        <v>71</v>
      </c>
      <c r="AE12" s="61">
        <f>AC12*1.05</f>
        <v>39145.575000000004</v>
      </c>
      <c r="AF12" s="61">
        <f t="shared" si="1"/>
        <v>469746.9</v>
      </c>
    </row>
    <row r="13" spans="1:32" ht="15" customHeight="1" x14ac:dyDescent="0.4">
      <c r="A13" s="124"/>
      <c r="B13" s="60" t="s">
        <v>75</v>
      </c>
      <c r="C13" s="7" t="s">
        <v>70</v>
      </c>
      <c r="D13" s="14">
        <v>7363</v>
      </c>
      <c r="E13" s="14">
        <v>7919</v>
      </c>
      <c r="F13" s="14">
        <v>9380</v>
      </c>
      <c r="G13" s="14">
        <v>9777</v>
      </c>
      <c r="H13" s="14">
        <v>11632</v>
      </c>
      <c r="I13" s="14">
        <v>16651</v>
      </c>
      <c r="J13" s="14">
        <v>16832</v>
      </c>
      <c r="K13" s="62">
        <v>15408</v>
      </c>
      <c r="L13" s="62">
        <v>12768</v>
      </c>
      <c r="M13" s="62">
        <v>16567</v>
      </c>
      <c r="N13" s="62">
        <v>14914</v>
      </c>
      <c r="O13" s="62">
        <v>11333</v>
      </c>
      <c r="P13" s="49">
        <v>11252</v>
      </c>
      <c r="Q13" s="49">
        <v>11018</v>
      </c>
      <c r="R13" s="49">
        <v>12505</v>
      </c>
      <c r="S13" s="6">
        <v>12024</v>
      </c>
      <c r="T13" s="6">
        <v>12471</v>
      </c>
      <c r="U13" s="6">
        <v>12397</v>
      </c>
      <c r="V13" s="6">
        <v>15060</v>
      </c>
      <c r="W13" s="6">
        <v>10553</v>
      </c>
      <c r="X13" s="6">
        <v>9220</v>
      </c>
      <c r="Y13" s="6">
        <v>11299</v>
      </c>
      <c r="Z13" s="6">
        <v>18619</v>
      </c>
      <c r="AA13" s="6">
        <v>16846</v>
      </c>
      <c r="AB13" s="16">
        <f t="shared" si="0"/>
        <v>303808</v>
      </c>
      <c r="AC13" s="50">
        <f>AB13/24</f>
        <v>12658.666666666666</v>
      </c>
      <c r="AD13" s="51" t="s">
        <v>71</v>
      </c>
      <c r="AE13" s="61">
        <f>AC13*1.05</f>
        <v>13291.6</v>
      </c>
      <c r="AF13" s="61">
        <f t="shared" si="1"/>
        <v>159499.20000000001</v>
      </c>
    </row>
    <row r="14" spans="1:32" ht="15" customHeight="1" x14ac:dyDescent="0.4">
      <c r="A14" s="124"/>
      <c r="B14" s="60" t="s">
        <v>51</v>
      </c>
      <c r="C14" s="7" t="s">
        <v>76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6">
        <v>60794</v>
      </c>
      <c r="T14" s="6">
        <v>101349</v>
      </c>
      <c r="U14" s="6">
        <v>100473</v>
      </c>
      <c r="V14" s="6">
        <v>102461</v>
      </c>
      <c r="W14" s="6">
        <v>104430</v>
      </c>
      <c r="X14" s="6">
        <v>114098</v>
      </c>
      <c r="Y14" s="6">
        <v>121794</v>
      </c>
      <c r="Z14" s="6">
        <v>111153</v>
      </c>
      <c r="AA14" s="6">
        <v>79130</v>
      </c>
      <c r="AB14" s="16">
        <f t="shared" si="0"/>
        <v>895682</v>
      </c>
      <c r="AC14" s="50">
        <f>AB14/9</f>
        <v>99520.222222222219</v>
      </c>
      <c r="AD14" s="51" t="s">
        <v>71</v>
      </c>
      <c r="AE14" s="61">
        <f>AC14*1.05</f>
        <v>104496.23333333334</v>
      </c>
      <c r="AF14" s="61">
        <f t="shared" si="1"/>
        <v>1253954.8</v>
      </c>
    </row>
    <row r="15" spans="1:32" ht="24" customHeight="1" x14ac:dyDescent="0.4">
      <c r="A15" s="124"/>
      <c r="B15" s="60" t="s">
        <v>62</v>
      </c>
      <c r="C15" s="7" t="s">
        <v>77</v>
      </c>
      <c r="D15" s="49">
        <v>0</v>
      </c>
      <c r="E15" s="49">
        <v>0</v>
      </c>
      <c r="F15" s="49">
        <v>0</v>
      </c>
      <c r="G15" s="49">
        <v>0</v>
      </c>
      <c r="H15" s="49">
        <v>0</v>
      </c>
      <c r="I15" s="49">
        <v>0</v>
      </c>
      <c r="J15" s="49">
        <v>0</v>
      </c>
      <c r="K15" s="49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6">
        <v>8357</v>
      </c>
      <c r="T15" s="6">
        <v>9350</v>
      </c>
      <c r="U15" s="6">
        <v>7972</v>
      </c>
      <c r="V15" s="6">
        <v>9490</v>
      </c>
      <c r="W15" s="6">
        <v>8431</v>
      </c>
      <c r="X15" s="6">
        <v>8365</v>
      </c>
      <c r="Y15" s="6">
        <v>8936</v>
      </c>
      <c r="Z15" s="6">
        <v>9025</v>
      </c>
      <c r="AA15" s="6">
        <v>7706</v>
      </c>
      <c r="AB15" s="16">
        <f t="shared" si="0"/>
        <v>77632</v>
      </c>
      <c r="AC15" s="50">
        <f>AB15/9</f>
        <v>8625.7777777777774</v>
      </c>
      <c r="AD15" s="51" t="s">
        <v>78</v>
      </c>
      <c r="AE15" s="61">
        <f>AC15*1.02</f>
        <v>8798.2933333333331</v>
      </c>
      <c r="AF15" s="61">
        <f t="shared" si="1"/>
        <v>105579.51999999999</v>
      </c>
    </row>
    <row r="16" spans="1:32" ht="15" customHeight="1" x14ac:dyDescent="0.4">
      <c r="A16" s="124"/>
      <c r="B16" s="53" t="s">
        <v>21</v>
      </c>
      <c r="C16" s="54"/>
      <c r="D16" s="55">
        <f t="shared" ref="D16:AC16" si="3">SUM(D10:D15)</f>
        <v>107864</v>
      </c>
      <c r="E16" s="55">
        <f t="shared" si="3"/>
        <v>82553</v>
      </c>
      <c r="F16" s="55">
        <f t="shared" si="3"/>
        <v>122996</v>
      </c>
      <c r="G16" s="55">
        <f t="shared" si="3"/>
        <v>132670</v>
      </c>
      <c r="H16" s="55">
        <f t="shared" si="3"/>
        <v>133310</v>
      </c>
      <c r="I16" s="55">
        <f t="shared" si="3"/>
        <v>219157</v>
      </c>
      <c r="J16" s="55">
        <f t="shared" si="3"/>
        <v>200676</v>
      </c>
      <c r="K16" s="55">
        <f t="shared" si="3"/>
        <v>221118</v>
      </c>
      <c r="L16" s="55">
        <f t="shared" si="3"/>
        <v>249474</v>
      </c>
      <c r="M16" s="55">
        <f t="shared" si="3"/>
        <v>228036</v>
      </c>
      <c r="N16" s="55">
        <f t="shared" si="3"/>
        <v>238404</v>
      </c>
      <c r="O16" s="55">
        <f t="shared" si="3"/>
        <v>365918</v>
      </c>
      <c r="P16" s="55">
        <f t="shared" si="3"/>
        <v>366598</v>
      </c>
      <c r="Q16" s="55">
        <f t="shared" si="3"/>
        <v>316884</v>
      </c>
      <c r="R16" s="55">
        <f t="shared" si="3"/>
        <v>380393</v>
      </c>
      <c r="S16" s="55">
        <f t="shared" si="3"/>
        <v>559096</v>
      </c>
      <c r="T16" s="55">
        <f t="shared" si="3"/>
        <v>519530</v>
      </c>
      <c r="U16" s="55">
        <f t="shared" si="3"/>
        <v>483106</v>
      </c>
      <c r="V16" s="55">
        <f t="shared" si="3"/>
        <v>530111</v>
      </c>
      <c r="W16" s="55">
        <f t="shared" si="3"/>
        <v>525213</v>
      </c>
      <c r="X16" s="55">
        <f t="shared" si="3"/>
        <v>606017</v>
      </c>
      <c r="Y16" s="55">
        <f t="shared" si="3"/>
        <v>645812</v>
      </c>
      <c r="Z16" s="55">
        <f t="shared" si="3"/>
        <v>813510</v>
      </c>
      <c r="AA16" s="55">
        <f t="shared" si="3"/>
        <v>582997</v>
      </c>
      <c r="AB16" s="56">
        <f t="shared" si="3"/>
        <v>8631443</v>
      </c>
      <c r="AC16" s="57">
        <f t="shared" si="3"/>
        <v>458302.625</v>
      </c>
      <c r="AD16" s="58"/>
      <c r="AE16" s="59">
        <f>SUM(AE10:AE15)</f>
        <v>480958.98291666666</v>
      </c>
      <c r="AF16" s="59">
        <f t="shared" si="1"/>
        <v>5771507.7949999999</v>
      </c>
    </row>
    <row r="17" spans="1:32" ht="15.9" customHeight="1" x14ac:dyDescent="0.4">
      <c r="A17" s="8"/>
      <c r="B17" s="8"/>
      <c r="C17" s="9"/>
      <c r="D17" s="9"/>
      <c r="E17" s="9"/>
      <c r="F17" s="9"/>
      <c r="G17" s="8"/>
      <c r="H17" s="8"/>
      <c r="I17" s="8"/>
      <c r="J17" s="8"/>
      <c r="K17" s="8"/>
      <c r="L17" s="8"/>
      <c r="M17" s="8"/>
      <c r="N17" s="8"/>
      <c r="O17" s="8"/>
      <c r="P17" s="9"/>
      <c r="Q17" s="9"/>
      <c r="R17" s="9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ht="15.9" customHeight="1" x14ac:dyDescent="0.4">
      <c r="A18" s="2"/>
      <c r="B18" s="2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3"/>
      <c r="Q18" s="3"/>
      <c r="R18" s="3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5.9" customHeight="1" x14ac:dyDescent="0.4">
      <c r="A19" s="2"/>
      <c r="B19" s="2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3"/>
      <c r="Q19" s="3"/>
      <c r="R19" s="3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.9" customHeight="1" x14ac:dyDescent="0.4">
      <c r="A20" s="2"/>
      <c r="B20" s="2"/>
      <c r="C20" s="3"/>
      <c r="D20" s="3"/>
      <c r="E20" s="3"/>
      <c r="F20" s="3"/>
      <c r="G20" s="2"/>
      <c r="H20" s="2"/>
      <c r="I20" s="2"/>
      <c r="J20" s="2"/>
      <c r="K20" s="2"/>
      <c r="L20" s="2"/>
      <c r="M20" s="2"/>
      <c r="N20" s="2"/>
      <c r="O20" s="2"/>
      <c r="P20" s="3"/>
      <c r="Q20" s="3"/>
      <c r="R20" s="3"/>
      <c r="S20" s="2"/>
      <c r="T20" s="2"/>
      <c r="U20" s="2"/>
      <c r="V20" s="2"/>
      <c r="W20" s="2"/>
      <c r="X20" s="2"/>
      <c r="Y20" s="2"/>
      <c r="Z20" s="2"/>
      <c r="AA20" s="2"/>
      <c r="AB20" s="10"/>
      <c r="AC20" s="2"/>
      <c r="AD20" s="2"/>
      <c r="AE20" s="2"/>
      <c r="AF20" s="2"/>
    </row>
  </sheetData>
  <mergeCells count="3">
    <mergeCell ref="A2:B2"/>
    <mergeCell ref="A3:A9"/>
    <mergeCell ref="A10:A16"/>
  </mergeCells>
  <phoneticPr fontId="10" type="noConversion"/>
  <conditionalFormatting sqref="P3:AC4 D5:AC5 P6:AC6 D7:AC9 P10:AC11 D12:AC12 K13:AC13 D14:AC16 AB20">
    <cfRule type="cellIs" dxfId="0" priority="1" stopIfTrue="1" operator="lessThan">
      <formula>0</formula>
    </cfRule>
  </conditionalFormatting>
  <pageMargins left="0.7" right="0.7" top="0.75" bottom="0.75" header="0.3" footer="0.3"/>
  <pageSetup orientation="portrait" r:id="rId1"/>
  <headerFooter>
    <oddFooter>&amp;C&amp;"나눔고딕,Regular"&amp;12&amp;K000000&amp;P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b4dd1-8dae-413a-bee6-b100d66f48f5">
      <Terms xmlns="http://schemas.microsoft.com/office/infopath/2007/PartnerControls"/>
    </lcf76f155ced4ddcb4097134ff3c332f>
    <TaxCatchAll xmlns="e764269b-c18d-4dcc-ac71-f96f723f8f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C295F1CFE1BF24B8FF57653E0A49E51" ma:contentTypeVersion="13" ma:contentTypeDescription="새 문서를 만듭니다." ma:contentTypeScope="" ma:versionID="86ef56fa8438f22a552625e8d414ebdb">
  <xsd:schema xmlns:xsd="http://www.w3.org/2001/XMLSchema" xmlns:xs="http://www.w3.org/2001/XMLSchema" xmlns:p="http://schemas.microsoft.com/office/2006/metadata/properties" xmlns:ns2="b5cb4dd1-8dae-413a-bee6-b100d66f48f5" xmlns:ns3="e764269b-c18d-4dcc-ac71-f96f723f8f79" targetNamespace="http://schemas.microsoft.com/office/2006/metadata/properties" ma:root="true" ma:fieldsID="fcdd7388a226cf50739ba43b78ff0107" ns2:_="" ns3:_="">
    <xsd:import namespace="b5cb4dd1-8dae-413a-bee6-b100d66f48f5"/>
    <xsd:import namespace="e764269b-c18d-4dcc-ac71-f96f723f8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b4dd1-8dae-413a-bee6-b100d66f48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6f758c07-6da1-444b-9e44-057c31b72a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64269b-c18d-4dcc-ac71-f96f723f8f7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6365580-88a4-4446-8b2f-9ac9b9b4a2b7}" ma:internalName="TaxCatchAll" ma:showField="CatchAllData" ma:web="e764269b-c18d-4dcc-ac71-f96f723f8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B44A5-57E2-423B-B59F-0AD3006D8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77FF87-C56E-4533-834F-7F821C963344}">
  <ds:schemaRefs>
    <ds:schemaRef ds:uri="http://schemas.microsoft.com/office/2006/metadata/properties"/>
    <ds:schemaRef ds:uri="http://schemas.microsoft.com/office/infopath/2007/PartnerControls"/>
    <ds:schemaRef ds:uri="b5cb4dd1-8dae-413a-bee6-b100d66f48f5"/>
    <ds:schemaRef ds:uri="e764269b-c18d-4dcc-ac71-f96f723f8f79"/>
  </ds:schemaRefs>
</ds:datastoreItem>
</file>

<file path=customXml/itemProps3.xml><?xml version="1.0" encoding="utf-8"?>
<ds:datastoreItem xmlns:ds="http://schemas.openxmlformats.org/officeDocument/2006/customXml" ds:itemID="{FFB3549A-8DEC-43D1-A3F0-937A08C31B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b4dd1-8dae-413a-bee6-b100d66f48f5"/>
    <ds:schemaRef ds:uri="e764269b-c18d-4dcc-ac71-f96f723f8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사용자수</vt:lpstr>
      <vt:lpstr>페이지뷰수(조회수)</vt:lpstr>
      <vt:lpstr>세션수</vt:lpstr>
      <vt:lpstr>유입경로</vt:lpstr>
      <vt:lpstr>페이지로드속도_CN</vt:lpstr>
      <vt:lpstr>서비스개선</vt:lpstr>
      <vt:lpstr>보고용</vt:lpstr>
      <vt:lpstr>목표_방문수_페이지뷰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김 희영</cp:lastModifiedBy>
  <cp:revision/>
  <dcterms:created xsi:type="dcterms:W3CDTF">2020-05-31T17:18:37Z</dcterms:created>
  <dcterms:modified xsi:type="dcterms:W3CDTF">2026-04-06T06:53:11Z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C:\Users\theuber\Desktop\김하나\36.삼성전기\04.운영\05.운영업무\01.삼성전기\01.운영업무\02.주간보고\SEM_통계_V2.7_200601.xlsx</vt:lpwstr>
  </property>
  <property fmtid="{D5CDD505-2E9C-101B-9397-08002B2CF9AE}" pid="3" name="ContentTypeId">
    <vt:lpwstr>0x0101000C295F1CFE1BF24B8FF57653E0A49E51</vt:lpwstr>
  </property>
  <property fmtid="{D5CDD505-2E9C-101B-9397-08002B2CF9AE}" pid="4" name="MediaServiceImageTags">
    <vt:lpwstr/>
  </property>
</Properties>
</file>